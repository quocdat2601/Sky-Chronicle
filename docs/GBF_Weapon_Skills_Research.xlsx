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Types Reference" sheetId="1" state="visible" r:id="rId1"/>
    <sheet xmlns:r="http://schemas.openxmlformats.org/officeDocument/2006/relationships" name="Damage Formula" sheetId="2" state="visible" r:id="rId2"/>
    <sheet xmlns:r="http://schemas.openxmlformats.org/officeDocument/2006/relationships" name="Damage Caps" sheetId="3" state="visible" r:id="rId3"/>
    <sheet xmlns:r="http://schemas.openxmlformats.org/officeDocument/2006/relationships" name="BOOSTS Screen Decoder" sheetId="4" state="visible" r:id="rId4"/>
    <sheet xmlns:r="http://schemas.openxmlformats.org/officeDocument/2006/relationships" name="Dev 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E2B04A"/>
      <sz val="13"/>
    </font>
    <font>
      <name val="Calibri"/>
      <b val="1"/>
      <color rgb="0026C6DA"/>
      <sz val="11"/>
    </font>
    <font>
      <name val="Calibri"/>
      <b val="1"/>
      <color rgb="00E2B04A"/>
      <sz val="10"/>
    </font>
    <font>
      <name val="Calibri"/>
      <color rgb="0026C6DA"/>
      <sz val="10"/>
    </font>
    <font>
      <name val="Calibri"/>
      <color rgb="00FFFFFF"/>
      <sz val="10"/>
    </font>
    <font>
      <name val="Calibri"/>
      <color rgb="00FF9800"/>
      <sz val="10"/>
    </font>
    <font>
      <name val="Calibri"/>
      <color rgb="0042A5F5"/>
      <sz val="10"/>
    </font>
    <font>
      <name val="Calibri"/>
      <color rgb="00B0BEC5"/>
      <sz val="10"/>
    </font>
    <font>
      <name val="Calibri"/>
      <i val="1"/>
      <color rgb="00ECEFF1"/>
      <sz val="10"/>
    </font>
    <font>
      <name val="Calibri"/>
      <color rgb="004CAF50"/>
      <sz val="10"/>
    </font>
    <font>
      <name val="Consolas"/>
      <b val="1"/>
      <color rgb="00E2B04A"/>
      <sz val="10"/>
    </font>
    <font>
      <name val="Calibri"/>
      <b val="1"/>
      <color rgb="00FF9800"/>
      <sz val="10"/>
    </font>
    <font>
      <name val="Calibri"/>
      <color rgb="00AB47BC"/>
      <sz val="10"/>
    </font>
    <font>
      <name val="Calibri"/>
      <b val="1"/>
      <color rgb="00FFFFFF"/>
      <sz val="10"/>
    </font>
    <font>
      <name val="Calibri"/>
      <b val="1"/>
      <color rgb="004CAF50"/>
      <sz val="10"/>
    </font>
    <font>
      <name val="Calibri"/>
      <color rgb="00F44336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0A0A1E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GBF Weapon Skills — Complete Reference</t>
        </is>
      </c>
    </row>
    <row r="2">
      <c r="A2" s="2" t="inlineStr">
        <is>
          <t>📖  Skill Type Catalog — all passive weapon skills that contribute to the damage formula</t>
        </is>
      </c>
    </row>
    <row r="3">
      <c r="A3" s="3" t="inlineStr">
        <is>
          <t>Skill Type</t>
        </is>
      </c>
      <c r="B3" s="3" t="inlineStr">
        <is>
          <t>Multiplier Category</t>
        </is>
      </c>
      <c r="C3" s="3" t="inlineStr">
        <is>
          <t>Effect Summary</t>
        </is>
      </c>
      <c r="D3" s="3" t="inlineStr">
        <is>
          <t>Scales With HP?</t>
        </is>
      </c>
      <c r="E3" s="3" t="inlineStr">
        <is>
          <t>Boosted By Summon?</t>
        </is>
      </c>
      <c r="F3" s="3" t="inlineStr">
        <is>
          <t>Stacking Rule</t>
        </is>
      </c>
      <c r="G3" s="3" t="inlineStr">
        <is>
          <t>Notes / Caps</t>
        </is>
      </c>
    </row>
    <row r="4" ht="40" customHeight="1">
      <c r="A4" s="4" t="inlineStr">
        <is>
          <t>Might</t>
        </is>
      </c>
      <c r="B4" s="5" t="inlineStr">
        <is>
          <t>Normal</t>
        </is>
      </c>
      <c r="C4" s="6" t="inlineStr">
        <is>
          <t>Flat ATK boost to [element] allies</t>
        </is>
      </c>
      <c r="D4" s="7" t="inlineStr">
        <is>
          <t>No</t>
        </is>
      </c>
      <c r="E4" s="8" t="inlineStr">
        <is>
          <t>Optimus/Six-Dragon (Normal aura)</t>
        </is>
      </c>
      <c r="F4" s="9" t="inlineStr">
        <is>
          <t>Additive within category</t>
        </is>
      </c>
      <c r="G4" s="10" t="inlineStr">
        <is>
          <t>Most common skill. Small/Medium/Big/Massive tiers. SL10→SL15 adds ~0.4–1% per level.</t>
        </is>
      </c>
    </row>
    <row r="5" ht="40" customHeight="1">
      <c r="A5" s="11" t="inlineStr">
        <is>
          <t>Omega Might</t>
        </is>
      </c>
      <c r="B5" s="12" t="inlineStr">
        <is>
          <t>Omega</t>
        </is>
      </c>
      <c r="C5" s="13" t="inlineStr">
        <is>
          <t>Flat ATK boost; labeled 'Omega' or named skill</t>
        </is>
      </c>
      <c r="D5" s="14" t="inlineStr">
        <is>
          <t>No</t>
        </is>
      </c>
      <c r="E5" s="15" t="inlineStr">
        <is>
          <t>Elemental Omega summon (e.g. Colossus, Varuna)</t>
        </is>
      </c>
      <c r="F5" s="16" t="inlineStr">
        <is>
          <t>Additive within Omega category</t>
        </is>
      </c>
      <c r="G5" s="17" t="inlineStr">
        <is>
          <t>Omega summon multiplies raw % BEFORE adding to boost total. E.g. Varuna 120 = ×2.2 multiplier.</t>
        </is>
      </c>
    </row>
    <row r="6" ht="40" customHeight="1">
      <c r="A6" s="4" t="inlineStr">
        <is>
          <t>EX Might</t>
        </is>
      </c>
      <c r="B6" s="5" t="inlineStr">
        <is>
          <t>EX</t>
        </is>
      </c>
      <c r="C6" s="6" t="inlineStr">
        <is>
          <t>Flat ATK boost; labeled 'EX' or 'Unknown'</t>
        </is>
      </c>
      <c r="D6" s="7" t="inlineStr">
        <is>
          <t>No</t>
        </is>
      </c>
      <c r="E6" s="8" t="inlineStr">
        <is>
          <t>Generally not boosted by summons</t>
        </is>
      </c>
      <c r="F6" s="9" t="inlineStr">
        <is>
          <t>Additive within EX category</t>
        </is>
      </c>
      <c r="G6" s="10" t="inlineStr">
        <is>
          <t>Comes from Xeno weapons, Dark Opus pendulums, etc. Separate multiplicative category.</t>
        </is>
      </c>
    </row>
    <row r="7" ht="40" customHeight="1">
      <c r="A7" s="11" t="inlineStr">
        <is>
          <t>Stamina</t>
        </is>
      </c>
      <c r="B7" s="12" t="inlineStr">
        <is>
          <t>Normal</t>
        </is>
      </c>
      <c r="C7" s="13" t="inlineStr">
        <is>
          <t>ATK scales UP with ally's current HP %</t>
        </is>
      </c>
      <c r="D7" s="18" t="inlineStr">
        <is>
          <t>Yes — higher HP = more ATK</t>
        </is>
      </c>
      <c r="E7" s="15" t="inlineStr">
        <is>
          <t>Optimus/Six-Dragon</t>
        </is>
      </c>
      <c r="F7" s="16" t="inlineStr">
        <is>
          <t>Additive within Normal Stamina sub-category</t>
        </is>
      </c>
      <c r="G7" s="17" t="inlineStr">
        <is>
          <t>At 100% HP: full bonus. At 50% HP: reduced. Separate sub-multiplier from flat Might.</t>
        </is>
      </c>
    </row>
    <row r="8" ht="40" customHeight="1">
      <c r="A8" s="4" t="inlineStr">
        <is>
          <t>Enmity</t>
        </is>
      </c>
      <c r="B8" s="5" t="inlineStr">
        <is>
          <t>Normal</t>
        </is>
      </c>
      <c r="C8" s="6" t="inlineStr">
        <is>
          <t>ATK scales UP as ally's HP decreases</t>
        </is>
      </c>
      <c r="D8" s="19" t="inlineStr">
        <is>
          <t>Yes — lower HP = more ATK</t>
        </is>
      </c>
      <c r="E8" s="8" t="inlineStr">
        <is>
          <t>Optimus/Six-Dragon</t>
        </is>
      </c>
      <c r="F8" s="9" t="inlineStr">
        <is>
          <t>Additive within Normal Enmity sub-category</t>
        </is>
      </c>
      <c r="G8" s="10" t="inlineStr">
        <is>
          <t>Peaks near 1% HP. Opposite of Stamina. Cannot combine both efficiently.</t>
        </is>
      </c>
    </row>
    <row r="9" ht="40" customHeight="1">
      <c r="A9" s="11" t="inlineStr">
        <is>
          <t>Omega Stamina</t>
        </is>
      </c>
      <c r="B9" s="12" t="inlineStr">
        <is>
          <t>Omega</t>
        </is>
      </c>
      <c r="C9" s="13" t="inlineStr">
        <is>
          <t>ATK scales UP with HP, Omega version</t>
        </is>
      </c>
      <c r="D9" s="18" t="inlineStr">
        <is>
          <t>Yes</t>
        </is>
      </c>
      <c r="E9" s="15" t="inlineStr">
        <is>
          <t>Elemental Omega summon</t>
        </is>
      </c>
      <c r="F9" s="16" t="inlineStr">
        <is>
          <t>Additive within Omega Stamina sub-category</t>
        </is>
      </c>
      <c r="G9" s="17" t="inlineStr">
        <is>
          <t>Amplified by Omega summon before multiplying.</t>
        </is>
      </c>
    </row>
    <row r="10" ht="40" customHeight="1">
      <c r="A10" s="4" t="inlineStr">
        <is>
          <t>Omega Enmity</t>
        </is>
      </c>
      <c r="B10" s="5" t="inlineStr">
        <is>
          <t>Omega</t>
        </is>
      </c>
      <c r="C10" s="6" t="inlineStr">
        <is>
          <t>ATK scales UP with missing HP, Omega version</t>
        </is>
      </c>
      <c r="D10" s="19" t="inlineStr">
        <is>
          <t>Yes</t>
        </is>
      </c>
      <c r="E10" s="8" t="inlineStr">
        <is>
          <t>Elemental Omega summon</t>
        </is>
      </c>
      <c r="F10" s="9" t="inlineStr">
        <is>
          <t>Additive within Omega Enmity sub-category</t>
        </is>
      </c>
      <c r="G10" s="10" t="inlineStr">
        <is>
          <t>Same amplification mechanics as Omega Stamina.</t>
        </is>
      </c>
    </row>
    <row r="11" ht="40" customHeight="1">
      <c r="A11" s="11" t="inlineStr">
        <is>
          <t>Odious</t>
        </is>
      </c>
      <c r="B11" s="12" t="inlineStr">
        <is>
          <t>EX</t>
        </is>
      </c>
      <c r="C11" s="13" t="inlineStr">
        <is>
          <t>Flat ATK boost; labeled 'Odious'</t>
        </is>
      </c>
      <c r="D11" s="14" t="inlineStr">
        <is>
          <t>No</t>
        </is>
      </c>
      <c r="E11" s="15" t="inlineStr">
        <is>
          <t>Odious Summons (new generation, post-2022)</t>
        </is>
      </c>
      <c r="F11" s="16" t="inlineStr">
        <is>
          <t>Additive within EX. Separate from standard EX.</t>
        </is>
      </c>
      <c r="G11" s="17" t="inlineStr">
        <is>
          <t>Boosted further by exorcism level on each Odious weapon. Increasing returns.</t>
        </is>
      </c>
    </row>
    <row r="12" ht="40" customHeight="1">
      <c r="A12" s="4" t="inlineStr">
        <is>
          <t>Critical</t>
        </is>
      </c>
      <c r="B12" s="5" t="inlineStr">
        <is>
          <t>Seraphic / Independent</t>
        </is>
      </c>
      <c r="C12" s="6" t="inlineStr">
        <is>
          <t>Chance to deal +50% damage on hit</t>
        </is>
      </c>
      <c r="D12" s="7" t="inlineStr">
        <is>
          <t>No</t>
        </is>
      </c>
      <c r="E12" s="8" t="inlineStr">
        <is>
          <t>Auras boost CHANCE only, not the 50% modifier</t>
        </is>
      </c>
      <c r="F12" s="9" t="inlineStr">
        <is>
          <t>Additive total crit chance across all sources</t>
        </is>
      </c>
      <c r="G12" s="10" t="inlineStr">
        <is>
          <t>Soft cap: hitting 100% crit is achievable. Each hit checks independently. Critical DMG fixed at +50%.</t>
        </is>
      </c>
    </row>
    <row r="13" ht="40" customHeight="1">
      <c r="A13" s="11" t="inlineStr">
        <is>
          <t>Double Attack Rate (DA)</t>
        </is>
      </c>
      <c r="B13" s="12" t="inlineStr">
        <is>
          <t>Utility</t>
        </is>
      </c>
      <c r="C13" s="13" t="inlineStr">
        <is>
          <t>Increases probability of attacking twice per turn</t>
        </is>
      </c>
      <c r="D13" s="14" t="inlineStr">
        <is>
          <t>No</t>
        </is>
      </c>
      <c r="E13" s="15" t="inlineStr">
        <is>
          <t>Some summons boost DA indirectly</t>
        </is>
      </c>
      <c r="F13" s="16" t="inlineStr">
        <is>
          <t>Additive total DA% — displayed as % in BOOSTS screen</t>
        </is>
      </c>
      <c r="G13" s="17" t="inlineStr">
        <is>
          <t>DA fires a second normal hit. Each extra hit can crit independently. No hard cap stated.</t>
        </is>
      </c>
    </row>
    <row r="14" ht="40" customHeight="1">
      <c r="A14" s="4" t="inlineStr">
        <is>
          <t>Triple Attack Rate (TA)</t>
        </is>
      </c>
      <c r="B14" s="5" t="inlineStr">
        <is>
          <t>Utility</t>
        </is>
      </c>
      <c r="C14" s="6" t="inlineStr">
        <is>
          <t>Increases probability of attacking three times per turn</t>
        </is>
      </c>
      <c r="D14" s="7" t="inlineStr">
        <is>
          <t>No</t>
        </is>
      </c>
      <c r="E14" s="8" t="inlineStr">
        <is>
          <t>Some summons boost TA</t>
        </is>
      </c>
      <c r="F14" s="9" t="inlineStr">
        <is>
          <t>Additive total TA%</t>
        </is>
      </c>
      <c r="G14" s="10" t="inlineStr">
        <is>
          <t>TA is a subset chance: game checks DA first, then TA. TA also enables Full Chain Burst.</t>
        </is>
      </c>
    </row>
    <row r="15" ht="40" customHeight="1">
      <c r="A15" s="11" t="inlineStr">
        <is>
          <t>DMG Cap Up (NA)</t>
        </is>
      </c>
      <c r="B15" s="12" t="inlineStr">
        <is>
          <t>Damage Cap</t>
        </is>
      </c>
      <c r="C15" s="13" t="inlineStr">
        <is>
          <t>Raises soft cap on normal attack damage</t>
        </is>
      </c>
      <c r="D15" s="14" t="inlineStr">
        <is>
          <t>No</t>
        </is>
      </c>
      <c r="E15" s="15" t="inlineStr">
        <is>
          <t>No</t>
        </is>
      </c>
      <c r="F15" s="16" t="inlineStr">
        <is>
          <t>Additive up to 20% max from weapon skills</t>
        </is>
      </c>
      <c r="G15" s="17" t="inlineStr">
        <is>
          <t>Base NA cap ≈440,000. +20% → ~528,000. Non-weapon sources (summons, buffs) do NOT count toward 20% weapon limit.</t>
        </is>
      </c>
    </row>
    <row r="16" ht="40" customHeight="1">
      <c r="A16" s="4" t="inlineStr">
        <is>
          <t>DMG Cap Up (CA)</t>
        </is>
      </c>
      <c r="B16" s="5" t="inlineStr">
        <is>
          <t>Damage Cap</t>
        </is>
      </c>
      <c r="C16" s="6" t="inlineStr">
        <is>
          <t>Raises soft and hard cap on Charge Attack damage</t>
        </is>
      </c>
      <c r="D16" s="7" t="inlineStr">
        <is>
          <t>No</t>
        </is>
      </c>
      <c r="E16" s="8" t="inlineStr">
        <is>
          <t>No</t>
        </is>
      </c>
      <c r="F16" s="9" t="inlineStr">
        <is>
          <t>Additive up to 100% from weapon skills</t>
        </is>
      </c>
      <c r="G16" s="10" t="inlineStr">
        <is>
          <t>Base CA cap ≈1,160,000. CA cap skills stack additively to 100%. Special CA Cap affects hard cap separately.</t>
        </is>
      </c>
    </row>
    <row r="17" ht="40" customHeight="1">
      <c r="A17" s="11" t="inlineStr">
        <is>
          <t>Skill DMG Cap Up</t>
        </is>
      </c>
      <c r="B17" s="12" t="inlineStr">
        <is>
          <t>Damage Cap</t>
        </is>
      </c>
      <c r="C17" s="13" t="inlineStr">
        <is>
          <t>Raises per-skill damage cap for character skills</t>
        </is>
      </c>
      <c r="D17" s="14" t="inlineStr">
        <is>
          <t>No</t>
        </is>
      </c>
      <c r="E17" s="15" t="inlineStr">
        <is>
          <t>No</t>
        </is>
      </c>
      <c r="F17" s="16" t="inlineStr">
        <is>
          <t>Additive up to 100% from weapon skills</t>
        </is>
      </c>
      <c r="G17" s="17" t="inlineStr">
        <is>
          <t>Each skill has own base cap. Weapon skills + buffs share the 100% additive pool.</t>
        </is>
      </c>
    </row>
    <row r="18" ht="40" customHeight="1">
      <c r="A18" s="4" t="inlineStr">
        <is>
          <t>Elem. Amplify</t>
        </is>
      </c>
      <c r="B18" s="5" t="inlineStr">
        <is>
          <t>Seraphic/Elemental</t>
        </is>
      </c>
      <c r="C18" s="6" t="inlineStr">
        <is>
          <t>Amplifies all allies' superior elemental DMG (hitting weak element)</t>
        </is>
      </c>
      <c r="D18" s="7" t="inlineStr">
        <is>
          <t>No</t>
        </is>
      </c>
      <c r="E18" s="8" t="inlineStr">
        <is>
          <t>No (Seraphic boost applies separately)</t>
        </is>
      </c>
      <c r="F18" s="9" t="inlineStr">
        <is>
          <t>Additive across multiple sources</t>
        </is>
      </c>
      <c r="G18" s="10" t="inlineStr">
        <is>
          <t>Applied to final damage after main formula. Only benefits attacks vs. weak element. Caps at 20%.</t>
        </is>
      </c>
    </row>
    <row r="19" ht="40" customHeight="1">
      <c r="A19" s="11" t="inlineStr">
        <is>
          <t>Supplemental</t>
        </is>
      </c>
      <c r="B19" s="12" t="inlineStr">
        <is>
          <t>Supplemental (Additive to final hit)</t>
        </is>
      </c>
      <c r="C19" s="13" t="inlineStr">
        <is>
          <t>Adds fixed damage to each hit regardless of ATK stat</t>
        </is>
      </c>
      <c r="D19" s="18" t="inlineStr">
        <is>
          <t>No (some scale with boss max HP)</t>
        </is>
      </c>
      <c r="E19" s="15" t="inlineStr">
        <is>
          <t>No</t>
        </is>
      </c>
      <c r="F19" s="16" t="inlineStr">
        <is>
          <t>Additive up to stated caps</t>
        </is>
      </c>
      <c r="G19" s="17" t="inlineStr">
        <is>
          <t>Does NOT benefit from ATK multipliers. Added after all formula calculations. Immune to DEF. See Supp DMG sheet.</t>
        </is>
      </c>
    </row>
    <row r="20" ht="40" customHeight="1">
      <c r="A20" s="4" t="inlineStr">
        <is>
          <t>HP (Aegis/Fortitude)</t>
        </is>
      </c>
      <c r="B20" s="5" t="inlineStr">
        <is>
          <t>HP Pool</t>
        </is>
      </c>
      <c r="C20" s="6" t="inlineStr">
        <is>
          <t>Boosts max HP of [element] allies</t>
        </is>
      </c>
      <c r="D20" s="19" t="inlineStr">
        <is>
          <t>N/A</t>
        </is>
      </c>
      <c r="E20" s="8" t="inlineStr">
        <is>
          <t>Normal Aegis: Optimus/Six-Dragon</t>
        </is>
      </c>
      <c r="F20" s="9" t="inlineStr">
        <is>
          <t>Additive between Normal/Omega/EX HP sources. Total cap: 400%.</t>
        </is>
      </c>
      <c r="G20" s="10" t="inlineStr">
        <is>
          <t>Normal HP boost: 3/6/9% (S/M/B). Omega/EX HP: 1/3/6% (S/M/B). HP contributes to Stamina scaling.</t>
        </is>
      </c>
    </row>
    <row r="21" ht="40" customHeight="1">
      <c r="A21" s="11" t="inlineStr">
        <is>
          <t>Progression</t>
        </is>
      </c>
      <c r="B21" s="12" t="inlineStr">
        <is>
          <t>EX</t>
        </is>
      </c>
      <c r="C21" s="13" t="inlineStr">
        <is>
          <t>Grants Elemental ATK that increases each turn up to a maximum</t>
        </is>
      </c>
      <c r="D21" s="14" t="inlineStr">
        <is>
          <t>No</t>
        </is>
      </c>
      <c r="E21" s="15" t="inlineStr">
        <is>
          <t>No</t>
        </is>
      </c>
      <c r="F21" s="16" t="inlineStr">
        <is>
          <t>Multiple Progression share a 75% total Elemental ATK cap</t>
        </is>
      </c>
      <c r="G21" s="17" t="inlineStr">
        <is>
          <t>Draconic fire/water etc. versions are separate and don't count toward 75% cap.</t>
        </is>
      </c>
    </row>
    <row r="22" ht="40" customHeight="1">
      <c r="A22" s="4" t="inlineStr">
        <is>
          <t>Trium</t>
        </is>
      </c>
      <c r="B22" s="5" t="inlineStr">
        <is>
          <t>Normal</t>
        </is>
      </c>
      <c r="C22" s="6" t="inlineStr">
        <is>
          <t>Boosts ATK based on number of specific race characters in party</t>
        </is>
      </c>
      <c r="D22" s="7" t="inlineStr">
        <is>
          <t>No</t>
        </is>
      </c>
      <c r="E22" s="8" t="inlineStr">
        <is>
          <t>Optimus/Six-Dragon</t>
        </is>
      </c>
      <c r="F22" s="9" t="inlineStr">
        <is>
          <t>Multiple Trium stack as separate Normal modifiers</t>
        </is>
      </c>
      <c r="G22" s="10" t="inlineStr">
        <is>
          <t>e.g. 'Boost per Human/Erune' — counts Primal and Other allies too per Image 1 screenshot.</t>
        </is>
      </c>
    </row>
    <row r="23" ht="40" customHeight="1">
      <c r="A23" s="11" t="inlineStr">
        <is>
          <t>NA DMG Cap</t>
        </is>
      </c>
      <c r="B23" s="12" t="inlineStr">
        <is>
          <t>Damage Cap</t>
        </is>
      </c>
      <c r="C23" s="13" t="inlineStr">
        <is>
          <t>Specifically labeled 'Normal Attack DMG Cap' on BOOSTS screen</t>
        </is>
      </c>
      <c r="D23" s="14" t="inlineStr">
        <is>
          <t>No</t>
        </is>
      </c>
      <c r="E23" s="15" t="inlineStr">
        <is>
          <t>No</t>
        </is>
      </c>
      <c r="F23" s="16" t="inlineStr">
        <is>
          <t>Additive with other cap boosters up to 20% weapon limit</t>
        </is>
      </c>
      <c r="G23" s="17" t="inlineStr">
        <is>
          <t>Same pool as DMG Cap Up (NA). Displayed separately on BOOSTS screen.</t>
        </is>
      </c>
    </row>
    <row r="24" ht="40" customHeight="1">
      <c r="A24" s="4" t="inlineStr">
        <is>
          <t>Skill DMG Cap (Sp.)</t>
        </is>
      </c>
      <c r="B24" s="5" t="inlineStr">
        <is>
          <t>Damage Cap</t>
        </is>
      </c>
      <c r="C24" s="6" t="inlineStr">
        <is>
          <t>Boosts skill damage cap for Special skills</t>
        </is>
      </c>
      <c r="D24" s="7" t="inlineStr">
        <is>
          <t>No</t>
        </is>
      </c>
      <c r="E24" s="8" t="inlineStr">
        <is>
          <t>No</t>
        </is>
      </c>
      <c r="F24" s="9" t="inlineStr">
        <is>
          <t>Separate additive pool, caps at 60%</t>
        </is>
      </c>
      <c r="G24" s="10" t="inlineStr">
        <is>
          <t>Only affects skills classified as 'Special'. Different cap ceiling from normal Skill DMG Cap.</t>
        </is>
      </c>
    </row>
    <row r="25" ht="40" customHeight="1">
      <c r="A25" s="11" t="inlineStr">
        <is>
          <t>DEF Up</t>
        </is>
      </c>
      <c r="B25" s="12" t="inlineStr">
        <is>
          <t>Defensive</t>
        </is>
      </c>
      <c r="C25" s="13" t="inlineStr">
        <is>
          <t>Passive DEF boost to all allies for 8 turns at battle start</t>
        </is>
      </c>
      <c r="D25" s="14" t="inlineStr">
        <is>
          <t>No</t>
        </is>
      </c>
      <c r="E25" s="15" t="inlineStr">
        <is>
          <t>No</t>
        </is>
      </c>
      <c r="F25" s="16" t="inlineStr">
        <is>
          <t>Multiple copies of same tier do NOT stack — highest takes effect</t>
        </is>
      </c>
      <c r="G25" s="17" t="inlineStr">
        <is>
          <t>Applied multiplicatively to final DEF. DEF total boosts cap at 400%.</t>
        </is>
      </c>
    </row>
    <row r="26" ht="40" customHeight="1">
      <c r="A26" s="4" t="inlineStr">
        <is>
          <t>Chain Burst DMG Up</t>
        </is>
      </c>
      <c r="B26" s="5" t="inlineStr">
        <is>
          <t>CB Damage</t>
        </is>
      </c>
      <c r="C26" s="6" t="inlineStr">
        <is>
          <t>Boosts Chain Burst (Full Chain) damage and cap</t>
        </is>
      </c>
      <c r="D26" s="7" t="inlineStr">
        <is>
          <t>No</t>
        </is>
      </c>
      <c r="E26" s="8" t="inlineStr">
        <is>
          <t>No</t>
        </is>
      </c>
      <c r="F26" s="9" t="inlineStr">
        <is>
          <t>CB DMG Cap additive up to 100%</t>
        </is>
      </c>
      <c r="G26" s="10" t="inlineStr">
        <is>
          <t>Chain Force skill grants: 5% CA DMG, 3% CA DMG Cap, 1% Special CA. CB DMG Cap caps at 120%.</t>
        </is>
      </c>
    </row>
    <row r="27" ht="40" customHeight="1">
      <c r="A27" s="11" t="inlineStr">
        <is>
          <t>DMG Supp. (CA)</t>
        </is>
      </c>
      <c r="B27" s="12" t="inlineStr">
        <is>
          <t>Supplemental</t>
        </is>
      </c>
      <c r="C27" s="13" t="inlineStr">
        <is>
          <t>Adds supplemental damage to Charge Attacks</t>
        </is>
      </c>
      <c r="D27" s="18" t="inlineStr">
        <is>
          <t>Some scale with boss HP</t>
        </is>
      </c>
      <c r="E27" s="15" t="inlineStr">
        <is>
          <t>No</t>
        </is>
      </c>
      <c r="F27" s="16" t="inlineStr">
        <is>
          <t>Stacks additively up to 1,000,000 cap</t>
        </is>
      </c>
      <c r="G27" s="17" t="inlineStr">
        <is>
          <t>Base strength: 5% of foe's max HP. Cap = 500,000×(HP/MaxHP)+100,000.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28" customWidth="1" min="4" max="4"/>
    <col width="28" customWidth="1" min="5" max="5"/>
    <col width="36" customWidth="1" min="6" max="6"/>
  </cols>
  <sheetData>
    <row r="1">
      <c r="A1" s="1" t="inlineStr">
        <is>
          <t>GBF Damage Formula — Layer by Layer Breakdown</t>
        </is>
      </c>
    </row>
    <row r="2">
      <c r="A2" s="2" t="inlineStr">
        <is>
          <t>🔢  MASTER FORMULA  (simplified, normal attack)</t>
        </is>
      </c>
    </row>
    <row r="3">
      <c r="A3" s="3" t="inlineStr">
        <is>
          <t>Component</t>
        </is>
      </c>
      <c r="B3" s="3" t="inlineStr">
        <is>
          <t>Formula Expression</t>
        </is>
      </c>
      <c r="C3" s="3" t="inlineStr">
        <is>
          <t>What feeds into it</t>
        </is>
      </c>
      <c r="D3" s="3" t="inlineStr">
        <is>
          <t>Summon interaction</t>
        </is>
      </c>
      <c r="E3" s="3" t="inlineStr">
        <is>
          <t>In-battle buffs?</t>
        </is>
      </c>
      <c r="F3" s="3" t="inlineStr">
        <is>
          <t>Notes</t>
        </is>
      </c>
    </row>
    <row r="4" ht="50" customHeight="1">
      <c r="A4" s="4" t="inlineStr">
        <is>
          <t>Character ATK</t>
        </is>
      </c>
      <c r="B4" s="5" t="inlineStr">
        <is>
          <t>Sum of base char ATK + weapon grid ATK</t>
        </is>
      </c>
      <c r="C4" s="6" t="inlineStr">
        <is>
          <t>All weapon ATK values + character base ATK</t>
        </is>
      </c>
      <c r="D4" s="8" t="inlineStr">
        <is>
          <t>Summon ATK values add here too</t>
        </is>
      </c>
      <c r="E4" s="7" t="inlineStr">
        <is>
          <t>No (this is base pool)</t>
        </is>
      </c>
      <c r="F4" s="10" t="inlineStr">
        <is>
          <t>Foundation of all damage. Higher ATK = higher base dmg.</t>
        </is>
      </c>
    </row>
    <row r="5" ht="50" customHeight="1">
      <c r="A5" s="11" t="inlineStr">
        <is>
          <t>Elemental Boost</t>
        </is>
      </c>
      <c r="B5" s="12" t="inlineStr">
        <is>
          <t>× (1 + Elemental%)</t>
        </is>
      </c>
      <c r="C5" s="13" t="inlineStr">
        <is>
          <t>Elemental advantage vs foe (fixed 50% from game), Elemental ATK skills (Progression), Elem buffs</t>
        </is>
      </c>
      <c r="D5" s="15" t="inlineStr">
        <is>
          <t>Elemental summons like Agni/Varuna provide a Normal summon multiplier</t>
        </is>
      </c>
      <c r="E5" s="14" t="inlineStr">
        <is>
          <t>Yes — Elemental ATK Up buffs add here</t>
        </is>
      </c>
      <c r="F5" s="17" t="inlineStr">
        <is>
          <t>Always applies when hitting a weak element. Elem.Amplify (Seraphic) is a separate later step.</t>
        </is>
      </c>
    </row>
    <row r="6" ht="50" customHeight="1">
      <c r="A6" s="4" t="inlineStr">
        <is>
          <t>Normal ATK Boost</t>
        </is>
      </c>
      <c r="B6" s="5" t="inlineStr">
        <is>
          <t>× (1 + Σ Normal%×NormalSummonMult + Bahamut + buffs)</t>
        </is>
      </c>
      <c r="C6" s="6" t="inlineStr">
        <is>
          <t>Might, Stamina, Enmity, Trium, Bahamut weapon skills</t>
        </is>
      </c>
      <c r="D6" s="8" t="inlineStr">
        <is>
          <t>Optimus/Six-Dragon summon multiplies all Normal skill % BEFORE summing</t>
        </is>
      </c>
      <c r="E6" s="7" t="inlineStr">
        <is>
          <t>Yes — ATK Up buffs (Normal type) add here</t>
        </is>
      </c>
      <c r="F6" s="10" t="inlineStr">
        <is>
          <t>Bahamut weapon skills add here but are NOT boosted by summons. Cap: 50% for Bahamut portion.</t>
        </is>
      </c>
    </row>
    <row r="7" ht="50" customHeight="1">
      <c r="A7" s="11" t="inlineStr">
        <is>
          <t>Omega ATK Boost</t>
        </is>
      </c>
      <c r="B7" s="12" t="inlineStr">
        <is>
          <t>× (1 + Σ OmegaSkill%×OmegaSummonMult)</t>
        </is>
      </c>
      <c r="C7" s="13" t="inlineStr">
        <is>
          <t>Omega Might, Omega Stamina, Omega Enmity weapon skills</t>
        </is>
      </c>
      <c r="D7" s="15" t="inlineStr">
        <is>
          <t>Element's Omega summon (e.g. Colossus, Varuna) multiplies Omega skill % directly</t>
        </is>
      </c>
      <c r="E7" s="14" t="inlineStr">
        <is>
          <t>No direct in-battle interaction</t>
        </is>
      </c>
      <c r="F7" s="17" t="inlineStr">
        <is>
          <t>The Omega summon multiplier (e.g. ×1.5 at base, ×2.2 at 4★) is huge. This is the core of endgame grids.</t>
        </is>
      </c>
    </row>
    <row r="8" ht="50" customHeight="1">
      <c r="A8" s="4" t="inlineStr">
        <is>
          <t>EX ATK Boost</t>
        </is>
      </c>
      <c r="B8" s="5" t="inlineStr">
        <is>
          <t>× (1 + Σ EX%)</t>
        </is>
      </c>
      <c r="C8" s="6" t="inlineStr">
        <is>
          <t>EX Might, Xeno weapons, Dark Opus pendulum, Odious weapons</t>
        </is>
      </c>
      <c r="D8" s="8" t="inlineStr">
        <is>
          <t>Generally not boosted by summons (exception: some Odious summons)</t>
        </is>
      </c>
      <c r="E8" s="7" t="inlineStr">
        <is>
          <t>Yes — some character skills grant EX-type ATK Up</t>
        </is>
      </c>
      <c r="F8" s="10" t="inlineStr">
        <is>
          <t>Separate multiplicative category. Even small EX% is very valuable because it multiplies everything else.</t>
        </is>
      </c>
    </row>
    <row r="9" ht="50" customHeight="1">
      <c r="A9" s="11" t="inlineStr">
        <is>
          <t>Stamina Sub-boost</t>
        </is>
      </c>
      <c r="B9" s="12" t="inlineStr">
        <is>
          <t>× (1 + StaminaMod × HP_ratio^n)</t>
        </is>
      </c>
      <c r="C9" s="13" t="inlineStr">
        <is>
          <t>All Stamina weapon skills (Normal + Omega combined)</t>
        </is>
      </c>
      <c r="D9" s="15" t="inlineStr">
        <is>
          <t>Normal Stamina amplified by Optimus; Omega Stamina amplified by Omega summon</t>
        </is>
      </c>
      <c r="E9" s="14" t="inlineStr">
        <is>
          <t>Strength buff (in-battle) adds to this</t>
        </is>
      </c>
      <c r="F9" s="17" t="inlineStr">
        <is>
          <t>HP_ratio = current HP / max HP. Full value only at 100% HP. Partial value as HP drops.</t>
        </is>
      </c>
    </row>
    <row r="10" ht="50" customHeight="1">
      <c r="A10" s="4" t="inlineStr">
        <is>
          <t>Enmity Sub-boost</t>
        </is>
      </c>
      <c r="B10" s="5" t="inlineStr">
        <is>
          <t>× (1 + EnmityMod × (1-HP_ratio)^curve)</t>
        </is>
      </c>
      <c r="C10" s="6" t="inlineStr">
        <is>
          <t>All Enmity weapon skills (Normal + Omega combined)</t>
        </is>
      </c>
      <c r="D10" s="8" t="inlineStr">
        <is>
          <t>Normal Enmity amplified by Optimus; Omega Enmity amplified by Omega summon</t>
        </is>
      </c>
      <c r="E10" s="7" t="inlineStr">
        <is>
          <t>Jammed buff (in-battle) adds to this</t>
        </is>
      </c>
      <c r="F10" s="10" t="inlineStr">
        <is>
          <t>Maximum value at very low HP. The curve is cubic — spikes dramatically below 25% HP.</t>
        </is>
      </c>
    </row>
    <row r="11" ht="50" customHeight="1">
      <c r="A11" s="11" t="inlineStr">
        <is>
          <t>Seraphic / Elem.Amplify</t>
        </is>
      </c>
      <c r="B11" s="12" t="inlineStr">
        <is>
          <t>× (1 + SeraphicBoost%)</t>
        </is>
      </c>
      <c r="C11" s="13" t="inlineStr">
        <is>
          <t>Elem.Amplify weapon skills, Seraphic weapon passive</t>
        </is>
      </c>
      <c r="D11" s="15" t="inlineStr">
        <is>
          <t>Not amplified by summons</t>
        </is>
      </c>
      <c r="E11" s="14" t="inlineStr">
        <is>
          <t>No</t>
        </is>
      </c>
      <c r="F11" s="17" t="inlineStr">
        <is>
          <t>Applied to FINAL damage before cap check. Only vs weak element. Additive pool caps at 20%.</t>
        </is>
      </c>
    </row>
    <row r="12" ht="50" customHeight="1">
      <c r="A12" s="4" t="inlineStr">
        <is>
          <t>Critical Bonus</t>
        </is>
      </c>
      <c r="B12" s="5" t="inlineStr">
        <is>
          <t>× 1.5 (on crit proc)</t>
        </is>
      </c>
      <c r="C12" s="6" t="inlineStr">
        <is>
          <t>Critical weapon skills (total crit chance %)</t>
        </is>
      </c>
      <c r="D12" s="8" t="inlineStr">
        <is>
          <t>Auras boost crit chance %, not the 1.5× modifier</t>
        </is>
      </c>
      <c r="E12" s="7" t="inlineStr">
        <is>
          <t>Crit Up buffs add to chance pool</t>
        </is>
      </c>
      <c r="F12" s="10" t="inlineStr">
        <is>
          <t>Independent per-hit RNG check. Multiple hits per turn each roll separately.</t>
        </is>
      </c>
    </row>
    <row r="13" ht="50" customHeight="1">
      <c r="A13" s="11" t="inlineStr">
        <is>
          <t>Unique / Misc Boosts</t>
        </is>
      </c>
      <c r="B13" s="12" t="inlineStr">
        <is>
          <t>× (1 + UniqueMod)</t>
        </is>
      </c>
      <c r="C13" s="13" t="inlineStr">
        <is>
          <t>Character-specific unique multipliers (e.g. Fif's Magic Torrent), crew boosts</t>
        </is>
      </c>
      <c r="D13" s="15" t="inlineStr">
        <is>
          <t>Varies by source</t>
        </is>
      </c>
      <c r="E13" s="14" t="inlineStr">
        <is>
          <t>Yes — many character skills are Unique type</t>
        </is>
      </c>
      <c r="F13" s="17" t="inlineStr">
        <is>
          <t>Each Unique source creates its own separate multiplier bracket — most valuable type of stacking.</t>
        </is>
      </c>
    </row>
    <row r="14" ht="50" customHeight="1">
      <c r="A14" s="4" t="inlineStr">
        <is>
          <t>Defense Reduction</t>
        </is>
      </c>
      <c r="B14" s="5" t="inlineStr">
        <is>
          <t>÷ (DEF value after debuffs)</t>
        </is>
      </c>
      <c r="C14" s="6" t="inlineStr">
        <is>
          <t>Enemy's base DEF (usually 10), DEF Down debuffs applied by player</t>
        </is>
      </c>
      <c r="D14" s="8" t="inlineStr">
        <is>
          <t>N/A</t>
        </is>
      </c>
      <c r="E14" s="7" t="inlineStr">
        <is>
          <t>Yes — DEF Down debuffs reduce enemy DEF</t>
        </is>
      </c>
      <c r="F14" s="10" t="inlineStr">
        <is>
          <t>DEF cannot be reduced below 50% of base value vs NPCs. Standard enemy DEF = 10.</t>
        </is>
      </c>
    </row>
    <row r="15" ht="50" customHeight="1">
      <c r="A15" s="11" t="inlineStr">
        <is>
          <t>Supplemental Damage</t>
        </is>
      </c>
      <c r="B15" s="12" t="inlineStr">
        <is>
          <t>+ SupplementalValue (flat, added after)</t>
        </is>
      </c>
      <c r="C15" s="13" t="inlineStr">
        <is>
          <t>Supplemental weapon skills, certain character skills</t>
        </is>
      </c>
      <c r="D15" s="15" t="inlineStr">
        <is>
          <t>No</t>
        </is>
      </c>
      <c r="E15" s="14" t="inlineStr">
        <is>
          <t>No — immune to buffs/debuffs/DEF</t>
        </is>
      </c>
      <c r="F15" s="17" t="inlineStr">
        <is>
          <t>Added AFTER all multiplier math. Not affected by ATK or DEF at all. Has own separate caps.</t>
        </is>
      </c>
    </row>
    <row r="17">
      <c r="A17" s="2" t="inlineStr">
        <is>
          <t>📐  Expanded formula (from wiki — detailed)</t>
        </is>
      </c>
    </row>
    <row r="18" ht="55" customHeight="1">
      <c r="A18" s="20" t="inlineStr">
        <is>
          <t>Base DMG = CharATK × ElementalBoost × NormalBoost × OmegaBoost × EXBoost × StaminaBoost × EnmityBoost × PerpetuityBoost × UniqueStackableBoost × AssassinBoost × UniqueCharBoosts × CrewBoosts × ATKDownDebuffEffect  ─── then apply Seraphic ─── then check damage cap ─── then add Supplemental</t>
        </is>
      </c>
    </row>
    <row r="20">
      <c r="A20" s="2" t="inlineStr">
        <is>
          <t>🧮  Stacking Example  — why EX/Normal/Omega must all be different</t>
        </is>
      </c>
    </row>
    <row r="21">
      <c r="A21" s="3" t="inlineStr">
        <is>
          <t>Setup</t>
        </is>
      </c>
      <c r="B21" s="3" t="inlineStr">
        <is>
          <t>Weapons</t>
        </is>
      </c>
      <c r="C21" s="3" t="inlineStr">
        <is>
          <t>Normal Boost</t>
        </is>
      </c>
      <c r="D21" s="3" t="inlineStr">
        <is>
          <t>Omega Boost</t>
        </is>
      </c>
      <c r="E21" s="3" t="inlineStr">
        <is>
          <t>EX Boost</t>
        </is>
      </c>
      <c r="F21" s="3" t="inlineStr">
        <is>
          <t>Total Multiplier</t>
        </is>
      </c>
    </row>
    <row r="22" ht="38" customHeight="1">
      <c r="A22" s="21" t="inlineStr">
        <is>
          <t>All Normal (bad)</t>
        </is>
      </c>
      <c r="B22" s="6" t="inlineStr">
        <is>
          <t>10× Normal Might 20% each</t>
        </is>
      </c>
      <c r="C22" s="5" t="inlineStr">
        <is>
          <t>1 + 2.0 = 3.0×</t>
        </is>
      </c>
      <c r="D22" s="8" t="inlineStr">
        <is>
          <t>1.0×</t>
        </is>
      </c>
      <c r="E22" s="22" t="inlineStr">
        <is>
          <t>1.0×</t>
        </is>
      </c>
      <c r="F22" s="23">
        <f>3.0 × 1.0 × 1.0 = 3.0×</f>
        <v/>
      </c>
    </row>
    <row r="23" ht="38" customHeight="1">
      <c r="A23" s="24" t="inlineStr">
        <is>
          <t>All Omega (bad)</t>
        </is>
      </c>
      <c r="B23" s="13" t="inlineStr">
        <is>
          <t>10× Omega Might 20% each</t>
        </is>
      </c>
      <c r="C23" s="12" t="inlineStr">
        <is>
          <t>1.0×</t>
        </is>
      </c>
      <c r="D23" s="15" t="inlineStr">
        <is>
          <t>1 + 2.0 = 3.0×</t>
        </is>
      </c>
      <c r="E23" s="25" t="inlineStr">
        <is>
          <t>1.0×</t>
        </is>
      </c>
      <c r="F23" s="26">
        <f>1.0 × 3.0 × 1.0 = 3.0×</f>
        <v/>
      </c>
    </row>
    <row r="24" ht="38" customHeight="1">
      <c r="A24" s="21" t="inlineStr">
        <is>
          <t>Balanced (good)</t>
        </is>
      </c>
      <c r="B24" s="6" t="inlineStr">
        <is>
          <t>Mix: Normal 60%, Omega 60%, EX 40%</t>
        </is>
      </c>
      <c r="C24" s="5" t="inlineStr">
        <is>
          <t>1 + 0.6 = 1.6×</t>
        </is>
      </c>
      <c r="D24" s="8" t="inlineStr">
        <is>
          <t>1 + 0.6 = 1.6×</t>
        </is>
      </c>
      <c r="E24" s="22" t="inlineStr">
        <is>
          <t>1 + 0.4 = 1.4×</t>
        </is>
      </c>
      <c r="F24" s="27">
        <f>1.6 × 1.6 × 1.4 = 3.58× ✓</f>
        <v/>
      </c>
    </row>
    <row r="25" ht="38" customHeight="1">
      <c r="A25" s="24" t="inlineStr">
        <is>
          <t>With Stamina (great)</t>
        </is>
      </c>
      <c r="B25" s="13" t="inlineStr">
        <is>
          <t>Balanced + Stamina bonus 30% at full HP</t>
        </is>
      </c>
      <c r="C25" s="12" t="inlineStr">
        <is>
          <t>1.6× × 1.3 (Stam) = 2.08×</t>
        </is>
      </c>
      <c r="D25" s="15" t="inlineStr">
        <is>
          <t>1.6×</t>
        </is>
      </c>
      <c r="E25" s="25" t="inlineStr">
        <is>
          <t>1.4×</t>
        </is>
      </c>
      <c r="F25" s="26">
        <f>2.08 × 1.6 × 1.4 = 4.66×</f>
        <v/>
      </c>
    </row>
    <row r="26" ht="38" customHeight="1">
      <c r="A26" s="21" t="inlineStr">
        <is>
          <t>With Omega summon</t>
        </is>
      </c>
      <c r="B26" s="6" t="inlineStr">
        <is>
          <t>Varuna 4★ (×2.2) on Omega grid</t>
        </is>
      </c>
      <c r="C26" s="5" t="inlineStr">
        <is>
          <t>1.6×</t>
        </is>
      </c>
      <c r="D26" s="8" t="inlineStr">
        <is>
          <t>1 + 0.6×2.2 = 2.32×</t>
        </is>
      </c>
      <c r="E26" s="22" t="inlineStr">
        <is>
          <t>1.4×</t>
        </is>
      </c>
      <c r="F26" s="23">
        <f>1.6 × 2.32 × 1.4 = 5.20×</f>
        <v/>
      </c>
    </row>
  </sheetData>
  <mergeCells count="5">
    <mergeCell ref="A2:F2"/>
    <mergeCell ref="A1:F1"/>
    <mergeCell ref="A17:F17"/>
    <mergeCell ref="A18:F18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0" customWidth="1" min="5" max="5"/>
    <col width="24" customWidth="1" min="6" max="6"/>
    <col width="36" customWidth="1" min="7" max="7"/>
  </cols>
  <sheetData>
    <row r="1">
      <c r="A1" s="1" t="inlineStr">
        <is>
          <t>GBF Damage Caps — Soft Cap, Hard Cap &amp; Cap-Raising Mechanics</t>
        </is>
      </c>
    </row>
    <row r="2">
      <c r="A2" s="2" t="inlineStr">
        <is>
          <t>🛡️  Damage Cap by Attack Type</t>
        </is>
      </c>
    </row>
    <row r="3">
      <c r="A3" s="3" t="inlineStr">
        <is>
          <t>Attack Type</t>
        </is>
      </c>
      <c r="B3" s="3" t="inlineStr">
        <is>
          <t>Base Soft Cap</t>
        </is>
      </c>
      <c r="C3" s="3" t="inlineStr">
        <is>
          <t>Max Soft Cap (+20%)</t>
        </is>
      </c>
      <c r="D3" s="3" t="inlineStr">
        <is>
          <t>Hard Cap</t>
        </is>
      </c>
      <c r="E3" s="3" t="inlineStr">
        <is>
          <t>Cap Stack Type</t>
        </is>
      </c>
      <c r="F3" s="3" t="inlineStr">
        <is>
          <t>Max Weapon Cap Raise</t>
        </is>
      </c>
      <c r="G3" s="3" t="inlineStr">
        <is>
          <t>Notes</t>
        </is>
      </c>
    </row>
    <row r="4" ht="48" customHeight="1">
      <c r="A4" s="4" t="inlineStr">
        <is>
          <t>Normal Attack</t>
        </is>
      </c>
      <c r="B4" s="28" t="inlineStr">
        <is>
          <t>~440,000</t>
        </is>
      </c>
      <c r="C4" s="19" t="inlineStr">
        <is>
          <t>~528,000</t>
        </is>
      </c>
      <c r="D4" s="7" t="inlineStr">
        <is>
          <t>~2,000,000 (approx)</t>
        </is>
      </c>
      <c r="E4" s="5" t="inlineStr">
        <is>
          <t>DMG Cap Up (NA) weapon skills</t>
        </is>
      </c>
      <c r="F4" s="8" t="inlineStr">
        <is>
          <t>+20% additive (weapon limit)</t>
        </is>
      </c>
      <c r="G4" s="10" t="inlineStr">
        <is>
          <t>Each hit in a multi-attack (DA/TA) is capped separately. All three hits of TA can each deal 440k.</t>
        </is>
      </c>
    </row>
    <row r="5" ht="48" customHeight="1">
      <c r="A5" s="11" t="inlineStr">
        <is>
          <t>Charge Attack (CA)</t>
        </is>
      </c>
      <c r="B5" s="29" t="inlineStr">
        <is>
          <t>~1,160,000</t>
        </is>
      </c>
      <c r="C5" s="18" t="inlineStr">
        <is>
          <t>~2,320,000 (+100%)</t>
        </is>
      </c>
      <c r="D5" s="14" t="inlineStr">
        <is>
          <t>Separate 'hard cap' layer</t>
        </is>
      </c>
      <c r="E5" s="12" t="inlineStr">
        <is>
          <t>CA DMG Cap weapon skills</t>
        </is>
      </c>
      <c r="F5" s="15" t="inlineStr">
        <is>
          <t>+100% additive (weapon limit)</t>
        </is>
      </c>
      <c r="G5" s="17" t="inlineStr">
        <is>
          <t>Special CA Cap skills affect the hard cap layer independently, allowing extra damage beyond normal CA cap.</t>
        </is>
      </c>
    </row>
    <row r="6" ht="48" customHeight="1">
      <c r="A6" s="4" t="inlineStr">
        <is>
          <t>Skill Damage</t>
        </is>
      </c>
      <c r="B6" s="28" t="inlineStr">
        <is>
          <t>Varies per skill</t>
        </is>
      </c>
      <c r="C6" s="19" t="inlineStr">
        <is>
          <t>Base + up to 100% from weapons</t>
        </is>
      </c>
      <c r="D6" s="7" t="inlineStr">
        <is>
          <t>Threshold 1 &amp; 2 system (see below)</t>
        </is>
      </c>
      <c r="E6" s="5" t="inlineStr">
        <is>
          <t>Skill DMG Cap Up weapons</t>
        </is>
      </c>
      <c r="F6" s="8" t="inlineStr">
        <is>
          <t>+100% additive (weapon limit)</t>
        </is>
      </c>
      <c r="G6" s="10" t="inlineStr">
        <is>
          <t>Skills with multiplier ≥601% bypass the extra reduction threshold. Skills have individual base caps.</t>
        </is>
      </c>
    </row>
    <row r="7" ht="48" customHeight="1">
      <c r="A7" s="11" t="inlineStr">
        <is>
          <t>Chain Burst (CB)</t>
        </is>
      </c>
      <c r="B7" s="29" t="inlineStr">
        <is>
          <t>~2,000,000 (approx)</t>
        </is>
      </c>
      <c r="C7" s="18" t="inlineStr">
        <is>
          <t>Higher with CB Cap weapons</t>
        </is>
      </c>
      <c r="D7" s="14" t="inlineStr">
        <is>
          <t>N/A</t>
        </is>
      </c>
      <c r="E7" s="12" t="inlineStr">
        <is>
          <t>CB DMG Cap weapon skills</t>
        </is>
      </c>
      <c r="F7" s="15" t="inlineStr">
        <is>
          <t>+100% additive (weapon limit)</t>
        </is>
      </c>
      <c r="G7" s="17" t="inlineStr">
        <is>
          <t>CB requires Full Chain (all chars CA same turn). CB DMG Up caps at 120%.</t>
        </is>
      </c>
    </row>
    <row r="8" ht="48" customHeight="1">
      <c r="A8" s="4" t="inlineStr">
        <is>
          <t>Supplemental Damage</t>
        </is>
      </c>
      <c r="B8" s="28" t="inlineStr">
        <is>
          <t>Varies (100k–1M+)</t>
        </is>
      </c>
      <c r="C8" s="19" t="inlineStr">
        <is>
          <t>See supp skill details</t>
        </is>
      </c>
      <c r="D8" s="7" t="inlineStr">
        <is>
          <t>Per-skill stated cap</t>
        </is>
      </c>
      <c r="E8" s="5" t="inlineStr">
        <is>
          <t>Not affected by standard DMG Cap mechanics</t>
        </is>
      </c>
      <c r="F8" s="8" t="inlineStr">
        <is>
          <t>Stack additively to stated skill caps</t>
        </is>
      </c>
      <c r="G8" s="10" t="inlineStr">
        <is>
          <t>Does not scale with ATK/DEF. Added flat after all formula. Immune to debuffs and defense.</t>
        </is>
      </c>
    </row>
    <row r="9" ht="48" customHeight="1">
      <c r="A9" s="11" t="inlineStr">
        <is>
          <t>Special CA</t>
        </is>
      </c>
      <c r="B9" s="29" t="inlineStr">
        <is>
          <t>Separate layer from CA</t>
        </is>
      </c>
      <c r="C9" s="18" t="inlineStr">
        <is>
          <t>Boosted by Sp.CA Cap weapons</t>
        </is>
      </c>
      <c r="D9" s="14" t="inlineStr">
        <is>
          <t>Higher than normal CA hard cap</t>
        </is>
      </c>
      <c r="E9" s="12" t="inlineStr">
        <is>
          <t>Special CA DMG Cap skills (separate pool)</t>
        </is>
      </c>
      <c r="F9" s="15" t="inlineStr">
        <is>
          <t>Separate from CA cap pool</t>
        </is>
      </c>
      <c r="G9" s="17" t="inlineStr">
        <is>
          <t>Eternals at Lv150+, Ultimate Bahamut, etc. Deal well beyond normal CA hard cap.</t>
        </is>
      </c>
    </row>
    <row r="10" ht="48" customHeight="1">
      <c r="A10" s="4" t="inlineStr">
        <is>
          <t>Counterattack</t>
        </is>
      </c>
      <c r="B10" s="28" t="inlineStr">
        <is>
          <t>Same as Normal Attack ~440,000</t>
        </is>
      </c>
      <c r="C10" s="19" t="inlineStr">
        <is>
          <t>~528,000</t>
        </is>
      </c>
      <c r="D10" s="7" t="inlineStr">
        <is>
          <t>~2,000,000</t>
        </is>
      </c>
      <c r="E10" s="5" t="inlineStr">
        <is>
          <t>DMG Cap Up (NA) weapon skills</t>
        </is>
      </c>
      <c r="F10" s="8" t="inlineStr">
        <is>
          <t>+20% additive</t>
        </is>
      </c>
      <c r="G10" s="10" t="inlineStr">
        <is>
          <t>Counters triggered by guard or counter skills follow normal attack cap rules.</t>
        </is>
      </c>
    </row>
    <row r="12">
      <c r="A12" s="2" t="inlineStr">
        <is>
          <t>🔻  Skill Damage Threshold Reduction System  (unique to skill hits)</t>
        </is>
      </c>
    </row>
    <row r="13" ht="90" customHeight="1">
      <c r="A13" s="30" t="inlineStr">
        <is>
          <t>Skill damage has an extra two-stage reduction on top of the soft cap:
  • Threshold 1: damage between T1 and T2 is reduced by 80% of the overage
  • Threshold 2: damage past T2 is reduced by 99.9% of the overage
Both thresholds are based on the skill's own damage multiplier (e.g. 300% skill has lower thresholds than 600%).
Skills with multiplier ≥601% are EXEMPT from the threshold system entirely.
Skill DMG Cap Up weapon skills and buffs raise the thresholds, allowing more damage to get through.</t>
        </is>
      </c>
    </row>
    <row r="15">
      <c r="A15" s="2" t="inlineStr">
        <is>
          <t>⬆️  All Ways to Raise Damage Caps</t>
        </is>
      </c>
    </row>
    <row r="16">
      <c r="A16" s="3" t="inlineStr">
        <is>
          <t>Source Type</t>
        </is>
      </c>
      <c r="B16" s="3" t="inlineStr">
        <is>
          <t>Examples</t>
        </is>
      </c>
      <c r="C16" s="3" t="inlineStr">
        <is>
          <t>Affects Cap Type</t>
        </is>
      </c>
      <c r="D16" s="3" t="inlineStr">
        <is>
          <t>Weapon Limit?</t>
        </is>
      </c>
      <c r="E16" s="3" t="inlineStr">
        <is>
          <t>Stacks With Others?</t>
        </is>
      </c>
      <c r="F16" s="3" t="inlineStr">
        <is>
          <t>Cap on Source</t>
        </is>
      </c>
      <c r="G16" s="3" t="inlineStr">
        <is>
          <t>Notes</t>
        </is>
      </c>
    </row>
    <row r="17" ht="45" customHeight="1">
      <c r="A17" s="4" t="inlineStr">
        <is>
          <t>Weapon Skill (NA Cap)</t>
        </is>
      </c>
      <c r="B17" s="6" t="inlineStr">
        <is>
          <t>DMG Cap Up weapon passive</t>
        </is>
      </c>
      <c r="C17" s="5" t="inlineStr">
        <is>
          <t>Normal Attack</t>
        </is>
      </c>
      <c r="D17" s="7" t="inlineStr">
        <is>
          <t>Yes — shares 20% weapon limit</t>
        </is>
      </c>
      <c r="E17" s="19" t="inlineStr">
        <is>
          <t>Yes, additive</t>
        </is>
      </c>
      <c r="F17" s="28" t="inlineStr">
        <is>
          <t>20% total from weapons</t>
        </is>
      </c>
      <c r="G17" s="10" t="inlineStr">
        <is>
          <t>Non-weapon sources do not count toward the 20% weapon limit.</t>
        </is>
      </c>
    </row>
    <row r="18" ht="45" customHeight="1">
      <c r="A18" s="11" t="inlineStr">
        <is>
          <t>Weapon Skill (CA Cap)</t>
        </is>
      </c>
      <c r="B18" s="13" t="inlineStr">
        <is>
          <t>CA DMG Cap Up weapon passive</t>
        </is>
      </c>
      <c r="C18" s="12" t="inlineStr">
        <is>
          <t>Charge Attack</t>
        </is>
      </c>
      <c r="D18" s="14" t="inlineStr">
        <is>
          <t>Yes — shares 100% weapon limit</t>
        </is>
      </c>
      <c r="E18" s="18" t="inlineStr">
        <is>
          <t>Yes, additive</t>
        </is>
      </c>
      <c r="F18" s="29" t="inlineStr">
        <is>
          <t>100% total from weapons</t>
        </is>
      </c>
      <c r="G18" s="17" t="inlineStr">
        <is>
          <t>Special CA Cap Up is a separate pool with its own 100% weapon limit.</t>
        </is>
      </c>
    </row>
    <row r="19" ht="45" customHeight="1">
      <c r="A19" s="4" t="inlineStr">
        <is>
          <t>Weapon Skill (Skill Cap)</t>
        </is>
      </c>
      <c r="B19" s="6" t="inlineStr">
        <is>
          <t>Skill DMG Cap Up weapon passive</t>
        </is>
      </c>
      <c r="C19" s="5" t="inlineStr">
        <is>
          <t>Skill Damage</t>
        </is>
      </c>
      <c r="D19" s="7" t="inlineStr">
        <is>
          <t>Yes — shares 100% weapon limit</t>
        </is>
      </c>
      <c r="E19" s="19" t="inlineStr">
        <is>
          <t>Yes, additive</t>
        </is>
      </c>
      <c r="F19" s="28" t="inlineStr">
        <is>
          <t>100% total from weapons</t>
        </is>
      </c>
      <c r="G19" s="10" t="inlineStr">
        <is>
          <t>Also raises the T1/T2 thresholds proportionally.</t>
        </is>
      </c>
    </row>
    <row r="20" ht="45" customHeight="1">
      <c r="A20" s="11" t="inlineStr">
        <is>
          <t>In-battle Buff (DMG Cap Up)</t>
        </is>
      </c>
      <c r="B20" s="13" t="inlineStr">
        <is>
          <t>Kaguya summon call, Ferry Grausam skill, etc.</t>
        </is>
      </c>
      <c r="C20" s="12" t="inlineStr">
        <is>
          <t>All types (NA/CA/Skill)</t>
        </is>
      </c>
      <c r="D20" s="14" t="inlineStr">
        <is>
          <t>No — does NOT count toward weapon limit</t>
        </is>
      </c>
      <c r="E20" s="18" t="inlineStr">
        <is>
          <t>Yes, stacks with weapon skills</t>
        </is>
      </c>
      <c r="F20" s="29" t="inlineStr">
        <is>
          <t>Varies by source</t>
        </is>
      </c>
      <c r="G20" s="17" t="inlineStr">
        <is>
          <t>This is why Kaguya is so valuable — provides cap boost outside weapon slot limit.</t>
        </is>
      </c>
    </row>
    <row r="21" ht="45" customHeight="1">
      <c r="A21" s="4" t="inlineStr">
        <is>
          <t>Extended Mastery (EMP)</t>
        </is>
      </c>
      <c r="B21" s="6" t="inlineStr">
        <is>
          <t>DMG Cap EMP perk on character</t>
        </is>
      </c>
      <c r="C21" s="5" t="inlineStr">
        <is>
          <t>All types</t>
        </is>
      </c>
      <c r="D21" s="7" t="inlineStr">
        <is>
          <t>No</t>
        </is>
      </c>
      <c r="E21" s="19" t="inlineStr">
        <is>
          <t>Yes</t>
        </is>
      </c>
      <c r="F21" s="28" t="inlineStr">
        <is>
          <t>Varies (usually small %)</t>
        </is>
      </c>
      <c r="G21" s="10" t="inlineStr">
        <is>
          <t>Permanent passive on individual characters. Cannot be changed without resetting EMP.</t>
        </is>
      </c>
    </row>
    <row r="22" ht="45" customHeight="1">
      <c r="A22" s="11" t="inlineStr">
        <is>
          <t>Character Support Skill</t>
        </is>
      </c>
      <c r="B22" s="13" t="inlineStr">
        <is>
          <t>e.g. Narmaya's passive cap boost</t>
        </is>
      </c>
      <c r="C22" s="12" t="inlineStr">
        <is>
          <t>Specific to skill type per character</t>
        </is>
      </c>
      <c r="D22" s="14" t="inlineStr">
        <is>
          <t>No</t>
        </is>
      </c>
      <c r="E22" s="18" t="inlineStr">
        <is>
          <t>Yes</t>
        </is>
      </c>
      <c r="F22" s="29" t="inlineStr">
        <is>
          <t>Character-specific</t>
        </is>
      </c>
      <c r="G22" s="17" t="inlineStr">
        <is>
          <t>Some characters have built-in cap boosts that scale with uncap/limit break level.</t>
        </is>
      </c>
    </row>
    <row r="23" ht="45" customHeight="1">
      <c r="A23" s="4" t="inlineStr">
        <is>
          <t>Assassin Skills</t>
        </is>
      </c>
      <c r="B23" s="6" t="inlineStr">
        <is>
          <t>Break Assassin, OD Assassin, Status Assassin</t>
        </is>
      </c>
      <c r="C23" s="5" t="inlineStr">
        <is>
          <t>Normal Attack only (raises NA cap to CA-level ~1.16M)</t>
        </is>
      </c>
      <c r="D23" s="7" t="inlineStr">
        <is>
          <t>No</t>
        </is>
      </c>
      <c r="E23" s="19" t="inlineStr">
        <is>
          <t>Yes</t>
        </is>
      </c>
      <c r="F23" s="28" t="inlineStr">
        <is>
          <t>One-shot duration usually</t>
        </is>
      </c>
      <c r="G23" s="10" t="inlineStr">
        <is>
          <t>Crack Shot II, similar class skills. Raises NA cap to match CA cap. Stackable with NA Cap weapons.</t>
        </is>
      </c>
    </row>
    <row r="24" ht="45" customHeight="1">
      <c r="A24" s="11" t="inlineStr">
        <is>
          <t>AX Skills (weapon affixes)</t>
        </is>
      </c>
      <c r="B24" s="13" t="inlineStr">
        <is>
          <t>AX DMG Cap affix on applicable weapons</t>
        </is>
      </c>
      <c r="C24" s="12" t="inlineStr">
        <is>
          <t>Normal Attack</t>
        </is>
      </c>
      <c r="D24" s="14" t="inlineStr">
        <is>
          <t>No — treated as separate from standard weapon skill pool</t>
        </is>
      </c>
      <c r="E24" s="18" t="inlineStr">
        <is>
          <t>Yes, additive</t>
        </is>
      </c>
      <c r="F24" s="29" t="inlineStr">
        <is>
          <t>Varies</t>
        </is>
      </c>
      <c r="G24" s="17" t="inlineStr">
        <is>
          <t>AX affixes are post-skill level content. High-investment endgame only.</t>
        </is>
      </c>
    </row>
    <row r="25" ht="45" customHeight="1">
      <c r="A25" s="4" t="inlineStr">
        <is>
          <t>Gauph Key / Pendulum</t>
        </is>
      </c>
      <c r="B25" s="6" t="inlineStr">
        <is>
          <t>Gauph Key γ (CA Cap), β (Skill Cap)</t>
        </is>
      </c>
      <c r="C25" s="5" t="inlineStr">
        <is>
          <t>CA or Skill depending on key type</t>
        </is>
      </c>
      <c r="D25" s="7" t="inlineStr">
        <is>
          <t>Yes — shares weapon limit</t>
        </is>
      </c>
      <c r="E25" s="19" t="inlineStr">
        <is>
          <t>Exception: γ/β/Anklet do NOT stack with each other (only highest applies)</t>
        </is>
      </c>
      <c r="F25" s="28" t="inlineStr">
        <is>
          <t>One of each type max effective</t>
        </is>
      </c>
      <c r="G25" s="10" t="inlineStr">
        <is>
          <t>Dark Opus weapon customization. Choose one key type per weapon.</t>
        </is>
      </c>
    </row>
  </sheetData>
  <mergeCells count="5">
    <mergeCell ref="A13:G13"/>
    <mergeCell ref="A1:G1"/>
    <mergeCell ref="A12:G12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22" customWidth="1" min="4" max="4"/>
    <col width="22" customWidth="1" min="5" max="5"/>
    <col width="36" customWidth="1" min="6" max="6"/>
  </cols>
  <sheetData>
    <row r="1">
      <c r="A1" s="1" t="inlineStr">
        <is>
          <t>GBF BOOSTS Screen — Every Label Decoded  (from your screenshots)</t>
        </is>
      </c>
    </row>
    <row r="2">
      <c r="A2" s="2" t="inlineStr">
        <is>
          <t>📊  Labels seen in the BOOSTS / Weapon Skill Boosts overlay (Images 2 &amp; 3)</t>
        </is>
      </c>
    </row>
    <row r="3">
      <c r="A3" s="3" t="inlineStr">
        <is>
          <t>Label on Screen</t>
        </is>
      </c>
      <c r="B3" s="3" t="inlineStr">
        <is>
          <t>Full Name</t>
        </is>
      </c>
      <c r="C3" s="3" t="inlineStr">
        <is>
          <t>What it does</t>
        </is>
      </c>
      <c r="D3" s="3" t="inlineStr">
        <is>
          <t>Multiplier Type</t>
        </is>
      </c>
      <c r="E3" s="3" t="inlineStr">
        <is>
          <t>Seen in Screenshot</t>
        </is>
      </c>
      <c r="F3" s="3" t="inlineStr">
        <is>
          <t>Notes</t>
        </is>
      </c>
    </row>
    <row r="4" ht="40" customHeight="1">
      <c r="A4" s="4" t="inlineStr">
        <is>
          <t>Might</t>
        </is>
      </c>
      <c r="B4" s="5" t="inlineStr">
        <is>
          <t>Normal Might</t>
        </is>
      </c>
      <c r="C4" s="6" t="inlineStr">
        <is>
          <t>Flat ATK bonus to elemental allies</t>
        </is>
      </c>
      <c r="D4" s="8" t="inlineStr">
        <is>
          <t>Normal ATK boost</t>
        </is>
      </c>
      <c r="E4" s="7" t="inlineStr">
        <is>
          <t>Image 2: 48%</t>
        </is>
      </c>
      <c r="F4" s="10" t="inlineStr">
        <is>
          <t>Core damage multiplier. Comes from most grid weapons.</t>
        </is>
      </c>
    </row>
    <row r="5" ht="40" customHeight="1">
      <c r="A5" s="11" t="inlineStr">
        <is>
          <t>Ω Might</t>
        </is>
      </c>
      <c r="B5" s="12" t="inlineStr">
        <is>
          <t>Omega Might</t>
        </is>
      </c>
      <c r="C5" s="13" t="inlineStr">
        <is>
          <t>Flat ATK bonus, amplified by Omega summon</t>
        </is>
      </c>
      <c r="D5" s="15" t="inlineStr">
        <is>
          <t>Omega ATK boost</t>
        </is>
      </c>
      <c r="E5" s="14" t="inlineStr">
        <is>
          <t>Image 2: 208%</t>
        </is>
      </c>
      <c r="F5" s="17" t="inlineStr">
        <is>
          <t>The highest shown value — indicates a strong Omega-focused grid.</t>
        </is>
      </c>
    </row>
    <row r="6" ht="40" customHeight="1">
      <c r="A6" s="4" t="inlineStr">
        <is>
          <t>EX Might</t>
        </is>
      </c>
      <c r="B6" s="5" t="inlineStr">
        <is>
          <t>EX / Unknown Might</t>
        </is>
      </c>
      <c r="C6" s="6" t="inlineStr">
        <is>
          <t>Flat ATK bonus from EX-category weapons</t>
        </is>
      </c>
      <c r="D6" s="8" t="inlineStr">
        <is>
          <t>EX ATK boost</t>
        </is>
      </c>
      <c r="E6" s="7" t="inlineStr">
        <is>
          <t>Image 2: 25%  |  Image 3: 50%</t>
        </is>
      </c>
      <c r="F6" s="10" t="inlineStr">
        <is>
          <t>Separate from Normal and Omega — multiplies both.</t>
        </is>
      </c>
    </row>
    <row r="7" ht="40" customHeight="1">
      <c r="A7" s="11" t="inlineStr">
        <is>
          <t>EX Might Sp.</t>
        </is>
      </c>
      <c r="B7" s="12" t="inlineStr">
        <is>
          <t>EX Might (Special)</t>
        </is>
      </c>
      <c r="C7" s="13" t="inlineStr">
        <is>
          <t>Specific EX-type ATK boost from special sources</t>
        </is>
      </c>
      <c r="D7" s="15" t="inlineStr">
        <is>
          <t>EX ATK boost (special sub-type)</t>
        </is>
      </c>
      <c r="E7" s="14" t="inlineStr">
        <is>
          <t>Image 2: 24%  |  Image 3: 24%</t>
        </is>
      </c>
      <c r="F7" s="17" t="inlineStr">
        <is>
          <t>Separate EX sub-category. Displayed distinctly.</t>
        </is>
      </c>
    </row>
    <row r="8" ht="40" customHeight="1">
      <c r="A8" s="4" t="inlineStr">
        <is>
          <t>Stamina</t>
        </is>
      </c>
      <c r="B8" s="5" t="inlineStr">
        <is>
          <t>Normal Stamina</t>
        </is>
      </c>
      <c r="C8" s="6" t="inlineStr">
        <is>
          <t>ATK scales UP with remaining HP (Normal type)</t>
        </is>
      </c>
      <c r="D8" s="8" t="inlineStr">
        <is>
          <t>Normal Stamina sub-boost</t>
        </is>
      </c>
      <c r="E8" s="7" t="inlineStr">
        <is>
          <t>Image 2: 20.4%</t>
        </is>
      </c>
      <c r="F8" s="10" t="inlineStr">
        <is>
          <t>Value shown is at full HP. Decreases as HP drops.</t>
        </is>
      </c>
    </row>
    <row r="9" ht="40" customHeight="1">
      <c r="A9" s="11" t="inlineStr">
        <is>
          <t>Ω Stamina</t>
        </is>
      </c>
      <c r="B9" s="12" t="inlineStr">
        <is>
          <t>Omega Stamina</t>
        </is>
      </c>
      <c r="C9" s="13" t="inlineStr">
        <is>
          <t>ATK scales UP with remaining HP (Omega type)</t>
        </is>
      </c>
      <c r="D9" s="15" t="inlineStr">
        <is>
          <t>Omega Stamina sub-boost</t>
        </is>
      </c>
      <c r="E9" s="14" t="inlineStr">
        <is>
          <t>Image 2: 32.97%  |  Image 3: 50.07%</t>
        </is>
      </c>
      <c r="F9" s="17" t="inlineStr">
        <is>
          <t>Amplified by Omega summon. Very high value = strong Omega summon in use.</t>
        </is>
      </c>
    </row>
    <row r="10" ht="40" customHeight="1">
      <c r="A10" s="4" t="inlineStr">
        <is>
          <t>Critical</t>
        </is>
      </c>
      <c r="B10" s="5" t="inlineStr">
        <is>
          <t>Critical Hit Rate</t>
        </is>
      </c>
      <c r="C10" s="6" t="inlineStr">
        <is>
          <t>Chance % to deal ×1.5 damage on any hit</t>
        </is>
      </c>
      <c r="D10" s="8" t="inlineStr">
        <is>
          <t>Independent crit roll per hit</t>
        </is>
      </c>
      <c r="E10" s="7" t="inlineStr">
        <is>
          <t>Image 2: 82.35%  |  Image 3: 72.45%</t>
        </is>
      </c>
      <c r="F10" s="10" t="inlineStr">
        <is>
          <t>Total additive crit chance. At 100%: every hit crits. Modifier fixed at +50%.</t>
        </is>
      </c>
    </row>
    <row r="11" ht="40" customHeight="1">
      <c r="A11" s="11" t="inlineStr">
        <is>
          <t>DA Rate</t>
        </is>
      </c>
      <c r="B11" s="12" t="inlineStr">
        <is>
          <t>Double Attack Rate</t>
        </is>
      </c>
      <c r="C11" s="13" t="inlineStr">
        <is>
          <t>Probability of making 2 normal attacks per turn</t>
        </is>
      </c>
      <c r="D11" s="15" t="inlineStr">
        <is>
          <t>Utility — extra hits</t>
        </is>
      </c>
      <c r="E11" s="14" t="inlineStr">
        <is>
          <t>Image 2: 43.5%</t>
        </is>
      </c>
      <c r="F11" s="17" t="inlineStr">
        <is>
          <t>Additive from weapon skills + buffs. Each extra hit also rolls for crit.</t>
        </is>
      </c>
    </row>
    <row r="12" ht="40" customHeight="1">
      <c r="A12" s="4" t="inlineStr">
        <is>
          <t>TA Rate</t>
        </is>
      </c>
      <c r="B12" s="5" t="inlineStr">
        <is>
          <t>Triple Attack Rate</t>
        </is>
      </c>
      <c r="C12" s="6" t="inlineStr">
        <is>
          <t>Probability of making 3 normal attacks per turn</t>
        </is>
      </c>
      <c r="D12" s="8" t="inlineStr">
        <is>
          <t>Utility — extra hits</t>
        </is>
      </c>
      <c r="E12" s="7" t="inlineStr">
        <is>
          <t>Image 2: 3.92%  |  Image 3: —</t>
        </is>
      </c>
      <c r="F12" s="10" t="inlineStr">
        <is>
          <t>Subset of DA check. Required for Full Chain Burst with all 3+MC attacking.</t>
        </is>
      </c>
    </row>
    <row r="13" ht="40" customHeight="1">
      <c r="A13" s="11" t="inlineStr">
        <is>
          <t>HP</t>
        </is>
      </c>
      <c r="B13" s="12" t="inlineStr">
        <is>
          <t>Max HP Boost</t>
        </is>
      </c>
      <c r="C13" s="13" t="inlineStr">
        <is>
          <t>Total HP increase from weapon skills (as %)</t>
        </is>
      </c>
      <c r="D13" s="15" t="inlineStr">
        <is>
          <t>HP pool multiplier</t>
        </is>
      </c>
      <c r="E13" s="14" t="inlineStr">
        <is>
          <t>Image 2: 194%  |  Image 3: 77.52%</t>
        </is>
      </c>
      <c r="F13" s="17" t="inlineStr">
        <is>
          <t>High HP benefits Stamina scaling AND survivability.</t>
        </is>
      </c>
    </row>
    <row r="14" ht="40" customHeight="1">
      <c r="A14" s="4" t="inlineStr">
        <is>
          <t>Elem. Amplify</t>
        </is>
      </c>
      <c r="B14" s="5" t="inlineStr">
        <is>
          <t>Elemental Amplify</t>
        </is>
      </c>
      <c r="C14" s="6" t="inlineStr">
        <is>
          <t>Boosts damage dealt when hitting a weak element</t>
        </is>
      </c>
      <c r="D14" s="8" t="inlineStr">
        <is>
          <t>Seraphic / post-formula multiplier</t>
        </is>
      </c>
      <c r="E14" s="7" t="inlineStr">
        <is>
          <t>Image 2: 25%  |  Image 3: 25%</t>
        </is>
      </c>
      <c r="F14" s="10" t="inlineStr">
        <is>
          <t>Only applies vs weak-element foes. Not boosted by any summon. Additive cap ~20%.</t>
        </is>
      </c>
    </row>
    <row r="15" ht="40" customHeight="1">
      <c r="A15" s="11" t="inlineStr">
        <is>
          <t>N.A.DMG Cap</t>
        </is>
      </c>
      <c r="B15" s="12" t="inlineStr">
        <is>
          <t>Normal Attack Damage Cap Up</t>
        </is>
      </c>
      <c r="C15" s="13" t="inlineStr">
        <is>
          <t>Raises the soft damage cap for normal attacks</t>
        </is>
      </c>
      <c r="D15" s="15" t="inlineStr">
        <is>
          <t>Damage Cap — NA</t>
        </is>
      </c>
      <c r="E15" s="14" t="inlineStr">
        <is>
          <t>Image 2: 10%  |  Image 3: 10%</t>
        </is>
      </c>
      <c r="F15" s="17" t="inlineStr">
        <is>
          <t>Additive from weapon skills up to 20%. Non-weapon sources (summons/buffs) separate.</t>
        </is>
      </c>
    </row>
    <row r="16" ht="40" customHeight="1">
      <c r="A16" s="4" t="inlineStr">
        <is>
          <t>Skill DMG Cap</t>
        </is>
      </c>
      <c r="B16" s="5" t="inlineStr">
        <is>
          <t>Skill Damage Cap Up</t>
        </is>
      </c>
      <c r="C16" s="6" t="inlineStr">
        <is>
          <t>Raises per-skill damage cap</t>
        </is>
      </c>
      <c r="D16" s="8" t="inlineStr">
        <is>
          <t>Damage Cap — Skill</t>
        </is>
      </c>
      <c r="E16" s="7" t="inlineStr">
        <is>
          <t>Image 2: 50%  |  Image 3: 50%</t>
        </is>
      </c>
      <c r="F16" s="10" t="inlineStr">
        <is>
          <t>Additive from weapon skills up to 100%.</t>
        </is>
      </c>
    </row>
    <row r="17" ht="40" customHeight="1">
      <c r="A17" s="11" t="inlineStr">
        <is>
          <t>DMG Supp.</t>
        </is>
      </c>
      <c r="B17" s="12" t="inlineStr">
        <is>
          <t>Supplemental Damage</t>
        </is>
      </c>
      <c r="C17" s="13" t="inlineStr">
        <is>
          <t>Flat damage added to each hit after formula</t>
        </is>
      </c>
      <c r="D17" s="15" t="inlineStr">
        <is>
          <t>Supplemental — outside all multipliers</t>
        </is>
      </c>
      <c r="E17" s="14" t="inlineStr">
        <is>
          <t>Image 2: +50,000  |  Image 3: +50,000</t>
        </is>
      </c>
      <c r="F17" s="17" t="inlineStr">
        <is>
          <t>The flat +50,000 per hit is significant. Not affected by DEF or ATK. Has its own cap.</t>
        </is>
      </c>
    </row>
    <row r="18" ht="40" customHeight="1">
      <c r="A18" s="4" t="inlineStr">
        <is>
          <t>Ele. ATK</t>
        </is>
      </c>
      <c r="B18" s="5" t="inlineStr">
        <is>
          <t>Elemental ATK (per-turn accumulating)</t>
        </is>
      </c>
      <c r="C18" s="6" t="inlineStr">
        <is>
          <t>Elemental ATK that builds up each turn (Progression skill)</t>
        </is>
      </c>
      <c r="D18" s="8" t="inlineStr">
        <is>
          <t>EX category via Elemental ATK stacks</t>
        </is>
      </c>
      <c r="E18" s="7" t="inlineStr">
        <is>
          <t>Image 2: 2% (early turns)</t>
        </is>
      </c>
      <c r="F18" s="10" t="inlineStr">
        <is>
          <t>Grows each turn up to stated maximum per weapon. Multiple weapons share 75% cap.</t>
        </is>
      </c>
    </row>
    <row r="19" ht="40" customHeight="1">
      <c r="A19" s="11" t="inlineStr">
        <is>
          <t>Fire Omega</t>
        </is>
      </c>
      <c r="B19" s="12" t="inlineStr">
        <is>
          <t>Fire Omega Might (element-specific display)</t>
        </is>
      </c>
      <c r="C19" s="13" t="inlineStr">
        <is>
          <t>Same as Omega Might but labeled by element in Estimated DMG view</t>
        </is>
      </c>
      <c r="D19" s="15" t="inlineStr">
        <is>
          <t>Omega ATK boost</t>
        </is>
      </c>
      <c r="E19" s="14" t="inlineStr">
        <is>
          <t>Image 3: 20%</t>
        </is>
      </c>
      <c r="F19" s="17" t="inlineStr">
        <is>
          <t>The Estimated Damage view shows element-specific breakdown: Normal %, Omega %, Odious %</t>
        </is>
      </c>
    </row>
    <row r="20" ht="40" customHeight="1">
      <c r="A20" s="4" t="inlineStr">
        <is>
          <t>DEF</t>
        </is>
      </c>
      <c r="B20" s="5" t="inlineStr">
        <is>
          <t>Defense Boost</t>
        </is>
      </c>
      <c r="C20" s="6" t="inlineStr">
        <is>
          <t>Passive DEF boost from weapon skills</t>
        </is>
      </c>
      <c r="D20" s="8" t="inlineStr">
        <is>
          <t>DEF multiplier (vs incoming damage)</t>
        </is>
      </c>
      <c r="E20" s="7" t="inlineStr">
        <is>
          <t>Image 3: 25%</t>
        </is>
      </c>
      <c r="F20" s="10" t="inlineStr">
        <is>
          <t>Helps survivability. Total DEF cap 400%. Higher DEF = less damage taken per hit.</t>
        </is>
      </c>
    </row>
    <row r="21" ht="40" customHeight="1">
      <c r="A21" s="11" t="inlineStr">
        <is>
          <t>Heal Cap</t>
        </is>
      </c>
      <c r="B21" s="12" t="inlineStr">
        <is>
          <t>Heal Cap Up</t>
        </is>
      </c>
      <c r="C21" s="13" t="inlineStr">
        <is>
          <t>Increases the max amount healed per skill/ability</t>
        </is>
      </c>
      <c r="D21" s="15" t="inlineStr">
        <is>
          <t>Healing utility</t>
        </is>
      </c>
      <c r="E21" s="14" t="inlineStr">
        <is>
          <t>Not in screenshots but from wiki</t>
        </is>
      </c>
      <c r="F21" s="17" t="inlineStr">
        <is>
          <t>Additive up to 100%. Does not boost fixed healing or HP-reg effects.</t>
        </is>
      </c>
    </row>
    <row r="22" ht="40" customHeight="1">
      <c r="A22" s="4" t="inlineStr">
        <is>
          <t>DMG Cap</t>
        </is>
      </c>
      <c r="B22" s="5" t="inlineStr">
        <is>
          <t>General Damage Cap Up (all types)</t>
        </is>
      </c>
      <c r="C22" s="6" t="inlineStr">
        <is>
          <t>Raises cap for NA, CA, and skill damage simultaneously</t>
        </is>
      </c>
      <c r="D22" s="8" t="inlineStr">
        <is>
          <t>General Damage Cap</t>
        </is>
      </c>
      <c r="E22" s="7" t="inlineStr">
        <is>
          <t>Not in screenshots (from Kaguya-type sources)</t>
        </is>
      </c>
      <c r="F22" s="10" t="inlineStr">
        <is>
          <t>In-battle buff version — does NOT count toward weapon skill 20% limit.</t>
        </is>
      </c>
    </row>
    <row r="23" ht="40" customHeight="1">
      <c r="A23" s="11" t="inlineStr">
        <is>
          <t>DMG Cap (Sp.)</t>
        </is>
      </c>
      <c r="B23" s="12" t="inlineStr">
        <is>
          <t>Special Damage Cap Up</t>
        </is>
      </c>
      <c r="C23" s="13" t="inlineStr">
        <is>
          <t>Separate pool for Special CA damage cap</t>
        </is>
      </c>
      <c r="D23" s="15" t="inlineStr">
        <is>
          <t>Special CA Damage Cap</t>
        </is>
      </c>
      <c r="E23" s="14" t="inlineStr">
        <is>
          <t>Image 3: 7%</t>
        </is>
      </c>
      <c r="F23" s="17" t="inlineStr">
        <is>
          <t>Affects Special Charge Attacks (Eternals at 150+, etc.) Hard cap layer only.</t>
        </is>
      </c>
    </row>
    <row r="25">
      <c r="A25" s="2" t="inlineStr">
        <is>
          <t>🎯  'Estimated Damage' Panel (Image 3) — Decoded</t>
        </is>
      </c>
    </row>
    <row r="26" ht="160" customHeight="1">
      <c r="A26" s="30" t="inlineStr">
        <is>
          <t>The Estimated Damage panel has two tabs:
  [Calculator] tab shows:
    • Estimated DMG — approximated normal attack output vs a neutral enemy
    • Estimated DMG to [Weak Element] Foes — includes elemental advantage bonus
    • Max HP — total party HP from all sources
    • '[Element] Weapon Skill Enhancements' row: shows Normal% | Omega% | Odious% breakdown by multiplier type
  [Weapon Skill Boosts] tab shows:
    • Every accumulated boost from all weapon skills in the grid
    • Values are post-summon-amplification (Omega values already include summon multiplier)
    • Double Attack Rate and Triple Attack Rate shown at top (from character skills + weapon skills combined)
    • Max HP shows absolute value (not %)
  Key reading tip: 'Ω Might 208%' means total Omega ATK modifier = 1 + 2.08 = 3.08× Omega boost before summon multiplication.</t>
        </is>
      </c>
    </row>
  </sheetData>
  <mergeCells count="4">
    <mergeCell ref="A26:F26"/>
    <mergeCell ref="A2:F2"/>
    <mergeCell ref="A1:F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2" customWidth="1" min="4" max="4"/>
    <col width="38" customWidth="1" min="5" max="5"/>
  </cols>
  <sheetData>
    <row r="1">
      <c r="A1" s="1" t="inlineStr">
        <is>
          <t>Dev Quick Reference — Implementing GBF Weapon Skill System</t>
        </is>
      </c>
    </row>
    <row r="2">
      <c r="A2" s="2" t="inlineStr">
        <is>
          <t>⚡  Core Data Model — what to store per weapon skill</t>
        </is>
      </c>
    </row>
    <row r="3">
      <c r="A3" s="3" t="inlineStr">
        <is>
          <t>Field</t>
        </is>
      </c>
      <c r="B3" s="3" t="inlineStr">
        <is>
          <t>Type / Values</t>
        </is>
      </c>
      <c r="C3" s="3" t="inlineStr">
        <is>
          <t>Required?</t>
        </is>
      </c>
      <c r="D3" s="3" t="inlineStr">
        <is>
          <t>Boosted By</t>
        </is>
      </c>
      <c r="E3" s="3" t="inlineStr">
        <is>
          <t>Notes</t>
        </is>
      </c>
    </row>
    <row r="4" ht="44" customHeight="1">
      <c r="A4" s="4" t="inlineStr">
        <is>
          <t>skill_type</t>
        </is>
      </c>
      <c r="B4" s="5" t="inlineStr">
        <is>
          <t>enum: might|stamina|enmity|critical|da_rate|ta_rate
     |hp|na_dmg_cap|ca_dmg_cap|skill_dmg_cap
     |elem_amplify|supplemental|chain_force|...</t>
        </is>
      </c>
      <c r="C4" s="19" t="inlineStr">
        <is>
          <t>Yes</t>
        </is>
      </c>
      <c r="D4" s="8" t="inlineStr">
        <is>
          <t>N/A</t>
        </is>
      </c>
      <c r="E4" s="10" t="inlineStr">
        <is>
          <t>Primary dispatch key. Determines which formula bucket the value goes into.</t>
        </is>
      </c>
    </row>
    <row r="5" ht="44" customHeight="1">
      <c r="A5" s="11" t="inlineStr">
        <is>
          <t>multiplier_category</t>
        </is>
      </c>
      <c r="B5" s="12" t="inlineStr">
        <is>
          <t>enum: normal|omega|ex|odious|seraphic|utility|cap|supplemental</t>
        </is>
      </c>
      <c r="C5" s="18" t="inlineStr">
        <is>
          <t>Yes</t>
        </is>
      </c>
      <c r="D5" s="15" t="inlineStr">
        <is>
          <t>N/A</t>
        </is>
      </c>
      <c r="E5" s="17" t="inlineStr">
        <is>
          <t>Determines which multiplicative bracket it feeds.</t>
        </is>
      </c>
    </row>
    <row r="6" ht="44" customHeight="1">
      <c r="A6" s="4" t="inlineStr">
        <is>
          <t>element</t>
        </is>
      </c>
      <c r="B6" s="5" t="inlineStr">
        <is>
          <t>enum: fire|water|earth|wind|light|dark|any</t>
        </is>
      </c>
      <c r="C6" s="19" t="inlineStr">
        <is>
          <t>Yes</t>
        </is>
      </c>
      <c r="D6" s="8" t="inlineStr">
        <is>
          <t>N/A</t>
        </is>
      </c>
      <c r="E6" s="10" t="inlineStr">
        <is>
          <t>'any' means it applies to all party elements.</t>
        </is>
      </c>
    </row>
    <row r="7" ht="44" customHeight="1">
      <c r="A7" s="11" t="inlineStr">
        <is>
          <t>base_percent</t>
        </is>
      </c>
      <c r="B7" s="12" t="inlineStr">
        <is>
          <t>float (e.g. 0.20 = 20%)</t>
        </is>
      </c>
      <c r="C7" s="18" t="inlineStr">
        <is>
          <t>Yes</t>
        </is>
      </c>
      <c r="D7" s="15" t="inlineStr">
        <is>
          <t>Summon amplifier for omega/normal types</t>
        </is>
      </c>
      <c r="E7" s="17" t="inlineStr">
        <is>
          <t>Value before summon amplification. Store raw %.</t>
        </is>
      </c>
    </row>
    <row r="8" ht="44" customHeight="1">
      <c r="A8" s="4" t="inlineStr">
        <is>
          <t>skill_level</t>
        </is>
      </c>
      <c r="B8" s="5" t="inlineStr">
        <is>
          <t>int 1–15</t>
        </is>
      </c>
      <c r="C8" s="19" t="inlineStr">
        <is>
          <t>Yes</t>
        </is>
      </c>
      <c r="D8" s="8" t="inlineStr">
        <is>
          <t>N/A</t>
        </is>
      </c>
      <c r="E8" s="10" t="inlineStr">
        <is>
          <t>Skill level modifies base_percent. Each level adds ~0.4–1% depending on tier.</t>
        </is>
      </c>
    </row>
    <row r="9" ht="44" customHeight="1">
      <c r="A9" s="11" t="inlineStr">
        <is>
          <t>tier</t>
        </is>
      </c>
      <c r="B9" s="12" t="inlineStr">
        <is>
          <t>enum: small|medium|big|massive|unique</t>
        </is>
      </c>
      <c r="C9" s="18" t="inlineStr">
        <is>
          <t>Yes</t>
        </is>
      </c>
      <c r="D9" s="15" t="inlineStr">
        <is>
          <t>N/A</t>
        </is>
      </c>
      <c r="E9" s="17" t="inlineStr">
        <is>
          <t>Affects base_percent scaling per level.</t>
        </is>
      </c>
    </row>
    <row r="10" ht="44" customHeight="1">
      <c r="A10" s="4" t="inlineStr">
        <is>
          <t>is_hp_conditional</t>
        </is>
      </c>
      <c r="B10" s="5" t="inlineStr">
        <is>
          <t>bool</t>
        </is>
      </c>
      <c r="C10" s="7" t="inlineStr">
        <is>
          <t>For stamina/enmity only</t>
        </is>
      </c>
      <c r="D10" s="8" t="inlineStr">
        <is>
          <t>N/A</t>
        </is>
      </c>
      <c r="E10" s="10" t="inlineStr">
        <is>
          <t>If true, apply HP ratio formula during damage calc instead of using base_percent directly.</t>
        </is>
      </c>
    </row>
    <row r="11" ht="44" customHeight="1">
      <c r="A11" s="11" t="inlineStr">
        <is>
          <t>hp_direction</t>
        </is>
      </c>
      <c r="B11" s="12" t="inlineStr">
        <is>
          <t>enum: stamina|enmity (null if not conditional)</t>
        </is>
      </c>
      <c r="C11" s="14" t="inlineStr">
        <is>
          <t>For stamina/enmity only</t>
        </is>
      </c>
      <c r="D11" s="15" t="inlineStr">
        <is>
          <t>N/A</t>
        </is>
      </c>
      <c r="E11" s="17" t="inlineStr">
        <is>
          <t>stamina = multiplier increases with HP. enmity = increases with missing HP.</t>
        </is>
      </c>
    </row>
    <row r="12" ht="44" customHeight="1">
      <c r="A12" s="4" t="inlineStr">
        <is>
          <t>element_restriction</t>
        </is>
      </c>
      <c r="B12" s="5" t="inlineStr">
        <is>
          <t>enum: human|erune|draph|harvin|primal|any (for Trium/Bahamut-type)</t>
        </is>
      </c>
      <c r="C12" s="7" t="inlineStr">
        <is>
          <t>For Trium-type only</t>
        </is>
      </c>
      <c r="D12" s="8" t="inlineStr">
        <is>
          <t>N/A</t>
        </is>
      </c>
      <c r="E12" s="10" t="inlineStr">
        <is>
          <t>Counts party members matching this race. Multiplier = base_percent × matching_count.</t>
        </is>
      </c>
    </row>
    <row r="13" ht="44" customHeight="1">
      <c r="A13" s="11" t="inlineStr">
        <is>
          <t>supplemental_value</t>
        </is>
      </c>
      <c r="B13" s="12" t="inlineStr">
        <is>
          <t>int (flat damage) or formula string</t>
        </is>
      </c>
      <c r="C13" s="14" t="inlineStr">
        <is>
          <t>For supplemental only</t>
        </is>
      </c>
      <c r="D13" s="15" t="inlineStr">
        <is>
          <t>N/A</t>
        </is>
      </c>
      <c r="E13" s="17" t="inlineStr">
        <is>
          <t>E.g. 50000 flat. Or '0.05 * enemy_max_hp' for HP-scaling types.</t>
        </is>
      </c>
    </row>
    <row r="14" ht="44" customHeight="1">
      <c r="A14" s="4" t="inlineStr">
        <is>
          <t>supplemental_cap</t>
        </is>
      </c>
      <c r="B14" s="5" t="inlineStr">
        <is>
          <t>int</t>
        </is>
      </c>
      <c r="C14" s="7" t="inlineStr">
        <is>
          <t>For supplemental only</t>
        </is>
      </c>
      <c r="D14" s="8" t="inlineStr">
        <is>
          <t>N/A</t>
        </is>
      </c>
      <c r="E14" s="10" t="inlineStr">
        <is>
          <t>Hard cap per stack. Multiple copies stack additively up to stated limit.</t>
        </is>
      </c>
    </row>
    <row r="15" ht="44" customHeight="1">
      <c r="A15" s="11" t="inlineStr">
        <is>
          <t>shared_cap_pool</t>
        </is>
      </c>
      <c r="B15" s="12" t="inlineStr">
        <is>
          <t>string key (e.g. 'na_dmg_cap_weapon', 'ca_dmg_cap_weapon')</t>
        </is>
      </c>
      <c r="C15" s="14" t="inlineStr">
        <is>
          <t>For cap skills</t>
        </is>
      </c>
      <c r="D15" s="15" t="inlineStr">
        <is>
          <t>N/A</t>
        </is>
      </c>
      <c r="E15" s="17" t="inlineStr">
        <is>
          <t>Skills sharing a cap pool must sum together and be clamped to pool_max.</t>
        </is>
      </c>
    </row>
    <row r="16" ht="44" customHeight="1">
      <c r="A16" s="4" t="inlineStr">
        <is>
          <t>pool_max</t>
        </is>
      </c>
      <c r="B16" s="5" t="inlineStr">
        <is>
          <t>float (e.g. 0.20 for NA cap, 1.00 for CA/Skill cap)</t>
        </is>
      </c>
      <c r="C16" s="7" t="inlineStr">
        <is>
          <t>For cap skills</t>
        </is>
      </c>
      <c r="D16" s="8" t="inlineStr">
        <is>
          <t>N/A</t>
        </is>
      </c>
      <c r="E16" s="10" t="inlineStr">
        <is>
          <t>Maximum combined value from weapon skills in this pool.</t>
        </is>
      </c>
    </row>
    <row r="17" ht="44" customHeight="1">
      <c r="A17" s="11" t="inlineStr">
        <is>
          <t>summon_key</t>
        </is>
      </c>
      <c r="B17" s="12" t="inlineStr">
        <is>
          <t>string (e.g. 'omega_water', 'optimus_fire', 'odious_dark')</t>
        </is>
      </c>
      <c r="C17" s="14" t="inlineStr">
        <is>
          <t>For omega/normal types</t>
        </is>
      </c>
      <c r="D17" s="15" t="inlineStr">
        <is>
          <t>Matched summon in party</t>
        </is>
      </c>
      <c r="E17" s="17" t="inlineStr">
        <is>
          <t>Used to look up the summon amplifier during formula calculation.</t>
        </is>
      </c>
    </row>
    <row r="19">
      <c r="A19" s="2" t="inlineStr">
        <is>
          <t>🔄  Calculation Order — implement in exactly this sequence</t>
        </is>
      </c>
    </row>
    <row r="20">
      <c r="A20" s="3" t="inlineStr">
        <is>
          <t>Step</t>
        </is>
      </c>
      <c r="B20" s="3" t="inlineStr">
        <is>
          <t>Action</t>
        </is>
      </c>
      <c r="C20" s="31" t="n"/>
      <c r="D20" s="31" t="n"/>
      <c r="E20" s="32" t="n"/>
    </row>
    <row r="21" ht="30" customHeight="1">
      <c r="A21" s="33" t="inlineStr">
        <is>
          <t>Step 1</t>
        </is>
      </c>
      <c r="B21" s="6" t="inlineStr">
        <is>
          <t>Collect all weapon ATK values + character base ATK → CharATK pool</t>
        </is>
      </c>
    </row>
    <row r="22" ht="30" customHeight="1">
      <c r="A22" s="34" t="inlineStr">
        <is>
          <t>Step 2</t>
        </is>
      </c>
      <c r="B22" s="13" t="inlineStr">
        <is>
          <t>For each weapon skill in grid, group by (skill_type, multiplier_category)</t>
        </is>
      </c>
    </row>
    <row r="23" ht="30" customHeight="1">
      <c r="A23" s="33" t="inlineStr">
        <is>
          <t>Step 3</t>
        </is>
      </c>
      <c r="B23" s="6" t="inlineStr">
        <is>
          <t>Apply summon amplifier to each omega skill's base_percent BEFORE summing group</t>
        </is>
      </c>
    </row>
    <row r="24" ht="30" customHeight="1">
      <c r="A24" s="34" t="inlineStr">
        <is>
          <t>Step 4</t>
        </is>
      </c>
      <c r="B24" s="13" t="inlineStr">
        <is>
          <t>Apply summon amplifier to each normal skill's base_percent BEFORE summing group</t>
        </is>
      </c>
    </row>
    <row r="25" ht="30" customHeight="1">
      <c r="A25" s="33" t="inlineStr">
        <is>
          <t>Step 5</t>
        </is>
      </c>
      <c r="B25" s="6" t="inlineStr">
        <is>
          <t>Compute Normal boost: 1 + Σ(amplified normal%) + Bahamut%</t>
        </is>
      </c>
    </row>
    <row r="26" ht="30" customHeight="1">
      <c r="A26" s="34" t="inlineStr">
        <is>
          <t>Step 6</t>
        </is>
      </c>
      <c r="B26" s="13" t="inlineStr">
        <is>
          <t>Compute Omega boost: 1 + Σ(amplified omega%)  [separate bracket]</t>
        </is>
      </c>
    </row>
    <row r="27" ht="30" customHeight="1">
      <c r="A27" s="33" t="inlineStr">
        <is>
          <t>Step 7</t>
        </is>
      </c>
      <c r="B27" s="6" t="inlineStr">
        <is>
          <t>Compute EX boost: 1 + Σ(ex%)  [separate bracket, usually no summon amp]</t>
        </is>
      </c>
    </row>
    <row r="28" ht="30" customHeight="1">
      <c r="A28" s="34" t="inlineStr">
        <is>
          <t>Step 8</t>
        </is>
      </c>
      <c r="B28" s="13" t="inlineStr">
        <is>
          <t>Compute Stamina sub-boost (if HP-conditional): 1 + Σ(stamina%) × HP_ratio^curve</t>
        </is>
      </c>
    </row>
    <row r="29" ht="30" customHeight="1">
      <c r="A29" s="33" t="inlineStr">
        <is>
          <t>Step 9</t>
        </is>
      </c>
      <c r="B29" s="6" t="inlineStr">
        <is>
          <t>Compute Enmity sub-boost (if HP-conditional): 1 + Σ(enmity%) × (1-HP_ratio)^curve</t>
        </is>
      </c>
    </row>
    <row r="30" ht="30" customHeight="1">
      <c r="A30" s="34" t="inlineStr">
        <is>
          <t>Step 10</t>
        </is>
      </c>
      <c r="B30" s="13" t="inlineStr">
        <is>
          <t>Multiply: CharATK × Elemental × Normal × Omega × EX × Stamina × Enmity × UniqueBoosts</t>
        </is>
      </c>
    </row>
    <row r="31" ht="30" customHeight="1">
      <c r="A31" s="33" t="inlineStr">
        <is>
          <t>Step 11</t>
        </is>
      </c>
      <c r="B31" s="6" t="inlineStr">
        <is>
          <t>Apply Seraphic/ElemAmplify ONLY if hitting weak element: result × (1 + seraphic%)</t>
        </is>
      </c>
    </row>
    <row r="32" ht="30" customHeight="1">
      <c r="A32" s="34" t="inlineStr">
        <is>
          <t>Step 12</t>
        </is>
      </c>
      <c r="B32" s="13" t="inlineStr">
        <is>
          <t>Check result against appropriate damage cap (type-specific, post cap-raise calc)</t>
        </is>
      </c>
    </row>
    <row r="33" ht="30" customHeight="1">
      <c r="A33" s="33" t="inlineStr">
        <is>
          <t>Step 13</t>
        </is>
      </c>
      <c r="B33" s="6" t="inlineStr">
        <is>
          <t>Add Supplemental damage FLAT after cap check: final_dmg += supplemental_value</t>
        </is>
      </c>
    </row>
    <row r="34" ht="30" customHeight="1">
      <c r="A34" s="34" t="inlineStr">
        <is>
          <t>Step 14</t>
        </is>
      </c>
      <c r="B34" s="13" t="inlineStr">
        <is>
          <t>Apply Critical roll per-hit: if rand() &lt; crit_chance → final_dmg × 1.5</t>
        </is>
      </c>
    </row>
    <row r="35" ht="30" customHeight="1">
      <c r="A35" s="33" t="inlineStr">
        <is>
          <t>Step 15</t>
        </is>
      </c>
      <c r="B35" s="6" t="inlineStr">
        <is>
          <t>For multi-attack (DA/TA): steps 10–14 run independently for each extra hit</t>
        </is>
      </c>
    </row>
  </sheetData>
  <mergeCells count="19">
    <mergeCell ref="B30:E30"/>
    <mergeCell ref="B33:E33"/>
    <mergeCell ref="A1:E1"/>
    <mergeCell ref="B24:E24"/>
    <mergeCell ref="B20:E20"/>
    <mergeCell ref="B32:E32"/>
    <mergeCell ref="B26:E26"/>
    <mergeCell ref="B35:E35"/>
    <mergeCell ref="B25:E25"/>
    <mergeCell ref="B22:E22"/>
    <mergeCell ref="B31:E31"/>
    <mergeCell ref="B27:E27"/>
    <mergeCell ref="A2:E2"/>
    <mergeCell ref="B21:E21"/>
    <mergeCell ref="B23:E23"/>
    <mergeCell ref="A19:E19"/>
    <mergeCell ref="B29:E29"/>
    <mergeCell ref="B34:E34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2026-03-17T12:45:32Z</dcterms:created>
  <dcterms:modified xmlns:dcterms="http://purl.org/dc/terms/" xmlns:xsi="http://www.w3.org/2001/XMLSchema-instance" xsi:type="dcterms:W3CDTF">2026-03-17T12:45:32Z</dcterms:modified>
</cp:coreProperties>
</file>