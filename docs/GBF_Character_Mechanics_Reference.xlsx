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Overview" sheetId="1" state="visible" r:id="rId1"/>
    <sheet xmlns:r="http://schemas.openxmlformats.org/officeDocument/2006/relationships" name="👤 Characters" sheetId="2" state="visible" r:id="rId2"/>
    <sheet xmlns:r="http://schemas.openxmlformats.org/officeDocument/2006/relationships" name="⚔ Damage Formula" sheetId="3" state="visible" r:id="rId3"/>
    <sheet xmlns:r="http://schemas.openxmlformats.org/officeDocument/2006/relationships" name="💥 Skill Types" sheetId="4" state="visible" r:id="rId4"/>
    <sheet xmlns:r="http://schemas.openxmlformats.org/officeDocument/2006/relationships" name="✨ Status Effects" sheetId="5" state="visible" r:id="rId5"/>
    <sheet xmlns:r="http://schemas.openxmlformats.org/officeDocument/2006/relationships" name="📊 Weapon Skills" sheetId="6" state="visible" r:id="rId6"/>
    <sheet xmlns:r="http://schemas.openxmlformats.org/officeDocument/2006/relationships" name="🧬 Extended Mastery" sheetId="7" state="visible" r:id="rId7"/>
    <sheet xmlns:r="http://schemas.openxmlformats.org/officeDocument/2006/relationships" name="🗡 Classes" sheetId="8" state="visible" r:id="rId8"/>
    <sheet xmlns:r="http://schemas.openxmlformats.org/officeDocument/2006/relationships" name="⚡ Multiattack" sheetId="9" state="visible" r:id="rId9"/>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D4AF37"/>
      <sz val="18"/>
    </font>
    <font>
      <name val="Arial"/>
      <i val="1"/>
      <color rgb="00BDC3C7"/>
      <sz val="9"/>
    </font>
    <font>
      <name val="Arial"/>
      <b val="1"/>
      <color rgb="00D4AF37"/>
      <sz val="11"/>
    </font>
    <font>
      <name val="Arial"/>
      <b val="1"/>
      <color rgb="00F2D06B"/>
      <sz val="9"/>
    </font>
    <font>
      <name val="Arial"/>
      <color rgb="00EFF3F8"/>
      <sz val="9"/>
    </font>
    <font>
      <name val="Arial"/>
      <color rgb="00C8D8EC"/>
      <sz val="8"/>
    </font>
    <font>
      <name val="Arial"/>
      <b val="1"/>
      <color rgb="00FFFFFF"/>
      <sz val="9"/>
    </font>
    <font>
      <name val="Arial"/>
      <b val="1"/>
      <color rgb="0027AE60"/>
      <sz val="9"/>
    </font>
    <font>
      <name val="Arial"/>
      <b val="1"/>
      <color rgb="00CC3333"/>
      <sz val="9"/>
    </font>
    <font>
      <name val="Arial"/>
      <b val="1"/>
      <color rgb="00FFFFFF"/>
      <sz val="10"/>
    </font>
    <font>
      <name val="Arial"/>
      <b val="1"/>
      <color rgb="00D4AF37"/>
      <sz val="13"/>
    </font>
    <font>
      <name val="Arial"/>
      <b val="1"/>
      <color rgb="00F2D06B"/>
      <sz val="11"/>
    </font>
    <font>
      <name val="Arial"/>
      <color rgb="00F1C40F"/>
      <sz val="9"/>
    </font>
    <font>
      <name val="Arial"/>
      <color rgb="00C8D8EC"/>
      <sz val="9"/>
    </font>
    <font>
      <name val="Arial"/>
      <color rgb="0027AE60"/>
      <sz val="9"/>
    </font>
    <font>
      <name val="Arial"/>
      <color rgb="00BDC3C7"/>
      <sz val="9"/>
    </font>
    <font>
      <name val="Arial"/>
      <b val="1"/>
      <color rgb="00F2D06B"/>
      <sz val="10"/>
    </font>
    <font>
      <name val="Arial"/>
      <color rgb="002980B9"/>
      <sz val="9"/>
    </font>
    <font>
      <name val="Arial"/>
      <color rgb="0016A085"/>
      <sz val="9"/>
    </font>
    <font>
      <name val="Arial"/>
      <color rgb="00E67E22"/>
      <sz val="9"/>
    </font>
    <font>
      <name val="Arial"/>
      <i val="1"/>
      <color rgb="00F2D06B"/>
      <sz val="9"/>
    </font>
    <font>
      <name val="Arial"/>
      <color rgb="00CC3333"/>
      <sz val="9"/>
    </font>
    <font>
      <name val="Arial"/>
      <color rgb="008E44AD"/>
      <sz val="9"/>
    </font>
    <font>
      <name val="Arial"/>
      <color rgb="00D4AF37"/>
      <sz val="9"/>
    </font>
    <font>
      <name val="Arial"/>
      <color rgb="007F8C8D"/>
      <sz val="9"/>
    </font>
    <font>
      <name val="Arial"/>
      <color rgb="00F2D06B"/>
      <sz val="9"/>
    </font>
  </fonts>
  <fills count="12">
    <fill>
      <patternFill/>
    </fill>
    <fill>
      <patternFill patternType="gray125"/>
    </fill>
    <fill>
      <patternFill patternType="solid">
        <fgColor rgb="000F1B2D"/>
      </patternFill>
    </fill>
    <fill>
      <patternFill patternType="solid">
        <fgColor rgb="001A2F4A"/>
      </patternFill>
    </fill>
    <fill>
      <patternFill patternType="solid">
        <fgColor rgb="00243B55"/>
      </patternFill>
    </fill>
    <fill>
      <patternFill patternType="solid">
        <fgColor rgb="00E74C3C"/>
      </patternFill>
    </fill>
    <fill>
      <patternFill patternType="solid">
        <fgColor rgb="003498DB"/>
      </patternFill>
    </fill>
    <fill>
      <patternFill patternType="solid">
        <fgColor rgb="0027AE60"/>
      </patternFill>
    </fill>
    <fill>
      <patternFill patternType="solid">
        <fgColor rgb="002ECC71"/>
      </patternFill>
    </fill>
    <fill>
      <patternFill patternType="solid">
        <fgColor rgb="00F39C12"/>
      </patternFill>
    </fill>
    <fill>
      <patternFill patternType="solid">
        <fgColor rgb="008E44AD"/>
      </patternFill>
    </fill>
    <fill>
      <patternFill patternType="solid">
        <fgColor rgb="00D4AF37"/>
      </patternFill>
    </fill>
  </fills>
  <borders count="3">
    <border>
      <left/>
      <right/>
      <top/>
      <bottom/>
      <diagonal/>
    </border>
    <border>
      <left style="thin">
        <color rgb="002C3E50"/>
      </left>
      <right style="thin">
        <color rgb="002C3E50"/>
      </right>
      <top style="medium">
        <color rgb="00D4AF37"/>
      </top>
      <bottom style="medium">
        <color rgb="00D4AF37"/>
      </bottom>
    </border>
    <border>
      <left style="thin">
        <color rgb="002C3E50"/>
      </left>
      <right style="thin">
        <color rgb="002C3E50"/>
      </right>
      <top style="thin">
        <color rgb="002C3E50"/>
      </top>
      <bottom style="thin">
        <color rgb="002C3E50"/>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4" fillId="3" borderId="2" applyAlignment="1" pivotButton="0" quotePrefix="0" xfId="0">
      <alignment horizontal="left" vertical="center"/>
    </xf>
    <xf numFmtId="0" fontId="5" fillId="3" borderId="2" applyAlignment="1" pivotButton="0" quotePrefix="0" xfId="0">
      <alignment horizontal="left" vertical="center" wrapText="1"/>
    </xf>
    <xf numFmtId="0" fontId="6" fillId="3" borderId="2" applyAlignment="1" pivotButton="0" quotePrefix="0" xfId="0">
      <alignment horizontal="left" vertical="center" wrapText="1"/>
    </xf>
    <xf numFmtId="0" fontId="4" fillId="2" borderId="2" applyAlignment="1" pivotButton="0" quotePrefix="0" xfId="0">
      <alignment horizontal="left" vertical="center"/>
    </xf>
    <xf numFmtId="0" fontId="5" fillId="2" borderId="2" applyAlignment="1" pivotButton="0" quotePrefix="0" xfId="0">
      <alignment horizontal="left" vertical="center" wrapText="1"/>
    </xf>
    <xf numFmtId="0" fontId="6" fillId="2" borderId="2" applyAlignment="1" pivotButton="0" quotePrefix="0" xfId="0">
      <alignment horizontal="left" vertical="center" wrapText="1"/>
    </xf>
    <xf numFmtId="0" fontId="7" fillId="5" borderId="2" applyAlignment="1" pivotButton="0" quotePrefix="0" xfId="0">
      <alignment horizontal="center" vertical="center"/>
    </xf>
    <xf numFmtId="0" fontId="8" fillId="3" borderId="2" applyAlignment="1" pivotButton="0" quotePrefix="0" xfId="0">
      <alignment horizontal="center" vertical="center"/>
    </xf>
    <xf numFmtId="0" fontId="9" fillId="3" borderId="2" applyAlignment="1" pivotButton="0" quotePrefix="0" xfId="0">
      <alignment horizontal="center" vertical="center"/>
    </xf>
    <xf numFmtId="0" fontId="7" fillId="6" borderId="2" applyAlignment="1" pivotButton="0" quotePrefix="0" xfId="0">
      <alignment horizontal="center" vertical="center"/>
    </xf>
    <xf numFmtId="0" fontId="8" fillId="2" borderId="2" applyAlignment="1" pivotButton="0" quotePrefix="0" xfId="0">
      <alignment horizontal="center" vertical="center"/>
    </xf>
    <xf numFmtId="0" fontId="9" fillId="2" borderId="2" applyAlignment="1" pivotButton="0" quotePrefix="0" xfId="0">
      <alignment horizontal="center" vertical="center"/>
    </xf>
    <xf numFmtId="0" fontId="7" fillId="7" borderId="2" applyAlignment="1" pivotButton="0" quotePrefix="0" xfId="0">
      <alignment horizontal="center" vertical="center"/>
    </xf>
    <xf numFmtId="0" fontId="7" fillId="8" borderId="2" applyAlignment="1" pivotButton="0" quotePrefix="0" xfId="0">
      <alignment horizontal="center" vertical="center"/>
    </xf>
    <xf numFmtId="0" fontId="7" fillId="9" borderId="2" applyAlignment="1" pivotButton="0" quotePrefix="0" xfId="0">
      <alignment horizontal="center" vertical="center"/>
    </xf>
    <xf numFmtId="0" fontId="7" fillId="10" borderId="2" applyAlignment="1" pivotButton="0" quotePrefix="0" xfId="0">
      <alignment horizontal="center" vertical="center"/>
    </xf>
    <xf numFmtId="0" fontId="10" fillId="6" borderId="2" applyAlignment="1" pivotButton="0" quotePrefix="0" xfId="0">
      <alignment horizontal="center" vertical="center"/>
    </xf>
    <xf numFmtId="0" fontId="10" fillId="10" borderId="2" applyAlignment="1" pivotButton="0" quotePrefix="0" xfId="0">
      <alignment horizontal="center" vertical="center"/>
    </xf>
    <xf numFmtId="0" fontId="10" fillId="11" borderId="2" applyAlignment="1" pivotButton="0" quotePrefix="0" xfId="0">
      <alignment horizontal="center" vertical="center"/>
    </xf>
    <xf numFmtId="0" fontId="11" fillId="2" borderId="0" applyAlignment="1" pivotButton="0" quotePrefix="0" xfId="0">
      <alignment horizontal="center" vertical="center"/>
    </xf>
    <xf numFmtId="0" fontId="4" fillId="4" borderId="1" applyAlignment="1" pivotButton="0" quotePrefix="0" xfId="0">
      <alignment horizontal="center" vertical="center" wrapText="1"/>
    </xf>
    <xf numFmtId="0" fontId="12" fillId="4" borderId="1" applyAlignment="1" pivotButton="0" quotePrefix="0" xfId="0">
      <alignment horizontal="center" vertical="center"/>
    </xf>
    <xf numFmtId="0" fontId="13" fillId="2" borderId="2" applyAlignment="1" pivotButton="0" quotePrefix="0" xfId="0">
      <alignment horizontal="left" vertical="center" wrapText="1"/>
    </xf>
    <xf numFmtId="0" fontId="14" fillId="2" borderId="2" applyAlignment="1" pivotButton="0" quotePrefix="0" xfId="0">
      <alignment horizontal="left" vertical="center" wrapText="1"/>
    </xf>
    <xf numFmtId="0" fontId="15" fillId="2" borderId="2" applyAlignment="1" pivotButton="0" quotePrefix="0" xfId="0">
      <alignment horizontal="left" vertical="center" wrapText="1"/>
    </xf>
    <xf numFmtId="0" fontId="16" fillId="2" borderId="2" applyAlignment="1" pivotButton="0" quotePrefix="0" xfId="0">
      <alignment horizontal="left" vertical="center" wrapText="1"/>
    </xf>
    <xf numFmtId="0" fontId="13" fillId="3" borderId="2" applyAlignment="1" pivotButton="0" quotePrefix="0" xfId="0">
      <alignment horizontal="left" vertical="center" wrapText="1"/>
    </xf>
    <xf numFmtId="0" fontId="14" fillId="3" borderId="2" applyAlignment="1" pivotButton="0" quotePrefix="0" xfId="0">
      <alignment horizontal="left" vertical="center" wrapText="1"/>
    </xf>
    <xf numFmtId="0" fontId="15" fillId="3" borderId="2" applyAlignment="1" pivotButton="0" quotePrefix="0" xfId="0">
      <alignment horizontal="left" vertical="center" wrapText="1"/>
    </xf>
    <xf numFmtId="0" fontId="16" fillId="3" borderId="2" applyAlignment="1" pivotButton="0" quotePrefix="0" xfId="0">
      <alignment horizontal="left" vertical="center" wrapText="1"/>
    </xf>
    <xf numFmtId="0" fontId="17" fillId="4" borderId="2" applyAlignment="1" pivotButton="0" quotePrefix="0" xfId="0">
      <alignment horizontal="center" vertical="center"/>
    </xf>
    <xf numFmtId="0" fontId="14" fillId="3" borderId="2" applyAlignment="1" pivotButton="0" quotePrefix="0" xfId="0">
      <alignment horizontal="center" vertical="center" wrapText="1"/>
    </xf>
    <xf numFmtId="0" fontId="18" fillId="3" borderId="2" applyAlignment="1" pivotButton="0" quotePrefix="0" xfId="0">
      <alignment horizontal="left" vertical="center" wrapText="1"/>
    </xf>
    <xf numFmtId="0" fontId="19" fillId="3" borderId="2" applyAlignment="1" pivotButton="0" quotePrefix="0" xfId="0">
      <alignment horizontal="left" vertical="center" wrapText="1"/>
    </xf>
    <xf numFmtId="0" fontId="20" fillId="3" borderId="2" applyAlignment="1" pivotButton="0" quotePrefix="0" xfId="0">
      <alignment horizontal="left" vertical="center" wrapText="1"/>
    </xf>
    <xf numFmtId="0" fontId="18" fillId="2" borderId="2" applyAlignment="1" pivotButton="0" quotePrefix="0" xfId="0">
      <alignment horizontal="left" vertical="center" wrapText="1"/>
    </xf>
    <xf numFmtId="0" fontId="19" fillId="2" borderId="2" applyAlignment="1" pivotButton="0" quotePrefix="0" xfId="0">
      <alignment horizontal="left" vertical="center" wrapText="1"/>
    </xf>
    <xf numFmtId="0" fontId="20" fillId="2" borderId="2" applyAlignment="1" pivotButton="0" quotePrefix="0" xfId="0">
      <alignment horizontal="left" vertical="center" wrapText="1"/>
    </xf>
    <xf numFmtId="0" fontId="21" fillId="4" borderId="2" applyAlignment="1" pivotButton="0" quotePrefix="0" xfId="0">
      <alignment horizontal="left" vertical="center" wrapText="1"/>
    </xf>
    <xf numFmtId="0" fontId="22" fillId="2" borderId="2" applyAlignment="1" pivotButton="0" quotePrefix="0" xfId="0">
      <alignment horizontal="left" vertical="center" wrapText="1"/>
    </xf>
    <xf numFmtId="0" fontId="22" fillId="3" borderId="2" applyAlignment="1" pivotButton="0" quotePrefix="0" xfId="0">
      <alignment horizontal="left" vertical="center" wrapText="1"/>
    </xf>
    <xf numFmtId="0" fontId="23" fillId="3" borderId="2" applyAlignment="1" pivotButton="0" quotePrefix="0" xfId="0">
      <alignment horizontal="left" vertical="center" wrapText="1"/>
    </xf>
    <xf numFmtId="0" fontId="23" fillId="2" borderId="2" applyAlignment="1" pivotButton="0" quotePrefix="0" xfId="0">
      <alignment horizontal="left" vertical="center" wrapText="1"/>
    </xf>
    <xf numFmtId="0" fontId="4" fillId="4" borderId="2" applyAlignment="1" pivotButton="0" quotePrefix="0" xfId="0">
      <alignment horizontal="center" vertical="center"/>
    </xf>
    <xf numFmtId="0" fontId="5" fillId="2" borderId="2" applyAlignment="1" pivotButton="0" quotePrefix="0" xfId="0">
      <alignment horizontal="center" vertical="center"/>
    </xf>
    <xf numFmtId="0" fontId="5" fillId="3" borderId="2" applyAlignment="1" pivotButton="0" quotePrefix="0" xfId="0">
      <alignment horizontal="center" vertical="center"/>
    </xf>
    <xf numFmtId="0" fontId="24" fillId="3" borderId="2" applyAlignment="1" pivotButton="0" quotePrefix="0" xfId="0">
      <alignment horizontal="left" vertical="center" wrapText="1"/>
    </xf>
    <xf numFmtId="0" fontId="24" fillId="2" borderId="2" applyAlignment="1" pivotButton="0" quotePrefix="0" xfId="0">
      <alignment horizontal="left" vertical="center" wrapText="1"/>
    </xf>
    <xf numFmtId="0" fontId="25" fillId="2" borderId="2" applyAlignment="1" pivotButton="0" quotePrefix="0" xfId="0">
      <alignment horizontal="left" vertical="center" wrapText="1"/>
    </xf>
    <xf numFmtId="0" fontId="26" fillId="2"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showGridLines="0" workbookViewId="0">
      <pane ySplit="2" topLeftCell="A3" activePane="bottomLeft" state="frozen"/>
      <selection pane="bottomLeft" activeCell="A1" sqref="A1"/>
    </sheetView>
  </sheetViews>
  <sheetFormatPr baseColWidth="8" defaultRowHeight="15"/>
  <cols>
    <col width="22" customWidth="1" min="1" max="1"/>
    <col width="55" customWidth="1" min="2" max="2"/>
    <col width="62" customWidth="1" min="3" max="3"/>
  </cols>
  <sheetData>
    <row r="1" ht="50" customHeight="1">
      <c r="A1" s="1" t="inlineStr">
        <is>
          <t>GRANBLUE FANTASY — Character &amp; Mechanics Reference</t>
        </is>
      </c>
    </row>
    <row r="2">
      <c r="A2" s="2" t="inlineStr">
        <is>
          <t>Complete system reference compiled from gbf.wiki  •  Source: https://gbf.wiki</t>
        </is>
      </c>
    </row>
    <row r="3" ht="10" customHeight="1"/>
    <row r="4">
      <c r="A4" s="3" t="inlineStr">
        <is>
          <t>SHEETS IN THIS WORKBOOK</t>
        </is>
      </c>
    </row>
    <row r="5">
      <c r="A5" s="4" t="inlineStr">
        <is>
          <t>Sheet</t>
        </is>
      </c>
      <c r="B5" s="4" t="inlineStr">
        <is>
          <t>Contents</t>
        </is>
      </c>
      <c r="C5" s="4" t="inlineStr">
        <is>
          <t>Key Topics</t>
        </is>
      </c>
    </row>
    <row r="6" ht="22" customHeight="1">
      <c r="A6" s="5" t="inlineStr">
        <is>
          <t>📋 Overview</t>
        </is>
      </c>
      <c r="B6" s="6" t="inlineStr">
        <is>
          <t>This sheet — navigation &amp; quick reference</t>
        </is>
      </c>
      <c r="C6" s="7" t="inlineStr">
        <is>
          <t>Sheet index, element chart, rarity overview</t>
        </is>
      </c>
    </row>
    <row r="7" ht="22" customHeight="1">
      <c r="A7" s="8" t="inlineStr">
        <is>
          <t>👤 Characters</t>
        </is>
      </c>
      <c r="B7" s="9" t="inlineStr">
        <is>
          <t>Character stats, types, races, uncap levels</t>
        </is>
      </c>
      <c r="C7" s="10" t="inlineStr">
        <is>
          <t>Min/Max ATK&amp;HP, element, race, weapon affinity, role, charge attack</t>
        </is>
      </c>
    </row>
    <row r="8" ht="22" customHeight="1">
      <c r="A8" s="5" t="inlineStr">
        <is>
          <t>⚔ Damage Formula</t>
        </is>
      </c>
      <c r="B8" s="6" t="inlineStr">
        <is>
          <t>Full damage calculation breakdown</t>
        </is>
      </c>
      <c r="C8" s="7" t="inlineStr">
        <is>
          <t>Base DMG, Normal/Omega/EX multipliers, elemental boost, DEF, crit, enmity/stamina</t>
        </is>
      </c>
    </row>
    <row r="9" ht="22" customHeight="1">
      <c r="A9" s="8" t="inlineStr">
        <is>
          <t>💥 Skill Types</t>
        </is>
      </c>
      <c r="B9" s="9" t="inlineStr">
        <is>
          <t>All active skill categories and mechanics</t>
        </is>
      </c>
      <c r="C9" s="10" t="inlineStr">
        <is>
          <t>Buff/debuff/heal/damage/instant types, cooldowns, targeting, stacking rules</t>
        </is>
      </c>
    </row>
    <row r="10" ht="22" customHeight="1">
      <c r="A10" s="5" t="inlineStr">
        <is>
          <t>✨ Status Effects</t>
        </is>
      </c>
      <c r="B10" s="6" t="inlineStr">
        <is>
          <t>Buffs, debuffs, DoTs and field effects</t>
        </is>
      </c>
      <c r="C10" s="7" t="inlineStr">
        <is>
          <t>ATK/DEF/DA/TA up/down, poison/burn/sleep, special buffs, overeffects</t>
        </is>
      </c>
    </row>
    <row r="11" ht="22" customHeight="1">
      <c r="A11" s="8" t="inlineStr">
        <is>
          <t>📊 Weapon Skills</t>
        </is>
      </c>
      <c r="B11" s="9" t="inlineStr">
        <is>
          <t>Weapon skill types, multiplier categories</t>
        </is>
      </c>
      <c r="C11" s="10" t="inlineStr">
        <is>
          <t>Normal/Omega/EX, stamina, enmity, crit, HP boost, charge speed, skill levels</t>
        </is>
      </c>
    </row>
    <row r="12" ht="22" customHeight="1">
      <c r="A12" s="5" t="inlineStr">
        <is>
          <t>🧬 Extended Mastery</t>
        </is>
      </c>
      <c r="B12" s="6" t="inlineStr">
        <is>
          <t>EMP perks, awakening, over mastery, rings</t>
        </is>
      </c>
      <c r="C12" s="7" t="inlineStr">
        <is>
          <t>Perk priorities, crit EMP, awakening types, coronation/lineage/intricacy rings</t>
        </is>
      </c>
    </row>
    <row r="13" ht="22" customHeight="1">
      <c r="A13" s="8" t="inlineStr">
        <is>
          <t>🗡 Classes</t>
        </is>
      </c>
      <c r="B13" s="9" t="inlineStr">
        <is>
          <t>MC class system — rows, skills, completion bonuses</t>
        </is>
      </c>
      <c r="C13" s="10" t="inlineStr">
        <is>
          <t>Row I–V, EX/EX II, Origin, skill types, subskills, master level</t>
        </is>
      </c>
    </row>
    <row r="14" ht="22" customHeight="1">
      <c r="A14" s="5" t="inlineStr">
        <is>
          <t>⚡ Multiattack</t>
        </is>
      </c>
      <c r="B14" s="6" t="inlineStr">
        <is>
          <t>Double attack, triple attack, chain burst</t>
        </is>
      </c>
      <c r="C14" s="7" t="inlineStr">
        <is>
          <t>DA/TA base rates, buffs, guaranteed TA, chain burst multipliers</t>
        </is>
      </c>
    </row>
    <row r="15" ht="10" customHeight="1"/>
    <row r="17">
      <c r="A17" s="3" t="inlineStr">
        <is>
          <t>ELEMENT ADVANTAGE CHART</t>
        </is>
      </c>
    </row>
    <row r="18">
      <c r="A18" s="4" t="inlineStr">
        <is>
          <t>Element</t>
        </is>
      </c>
      <c r="B18" s="4" t="inlineStr">
        <is>
          <t>Advantage vs</t>
        </is>
      </c>
      <c r="C18" s="4" t="inlineStr">
        <is>
          <t>Weakness vs</t>
        </is>
      </c>
    </row>
    <row r="19" ht="18" customHeight="1">
      <c r="A19" s="11" t="inlineStr">
        <is>
          <t>FIRE</t>
        </is>
      </c>
      <c r="B19" s="12" t="inlineStr">
        <is>
          <t>Strong vs WIND</t>
        </is>
      </c>
      <c r="C19" s="13" t="inlineStr">
        <is>
          <t>Weak vs WATER</t>
        </is>
      </c>
    </row>
    <row r="20" ht="18" customHeight="1">
      <c r="A20" s="14" t="inlineStr">
        <is>
          <t>WATER</t>
        </is>
      </c>
      <c r="B20" s="15" t="inlineStr">
        <is>
          <t>Strong vs FIRE</t>
        </is>
      </c>
      <c r="C20" s="16" t="inlineStr">
        <is>
          <t>Weak vs EARTH</t>
        </is>
      </c>
    </row>
    <row r="21" ht="18" customHeight="1">
      <c r="A21" s="17" t="inlineStr">
        <is>
          <t>EARTH</t>
        </is>
      </c>
      <c r="B21" s="12" t="inlineStr">
        <is>
          <t>Strong vs WATER</t>
        </is>
      </c>
      <c r="C21" s="13" t="inlineStr">
        <is>
          <t>Weak vs WIND</t>
        </is>
      </c>
    </row>
    <row r="22" ht="18" customHeight="1">
      <c r="A22" s="18" t="inlineStr">
        <is>
          <t>WIND</t>
        </is>
      </c>
      <c r="B22" s="15" t="inlineStr">
        <is>
          <t>Strong vs EARTH</t>
        </is>
      </c>
      <c r="C22" s="16" t="inlineStr">
        <is>
          <t>Weak vs FIRE</t>
        </is>
      </c>
    </row>
    <row r="23" ht="18" customHeight="1">
      <c r="A23" s="19" t="inlineStr">
        <is>
          <t>LIGHT</t>
        </is>
      </c>
      <c r="B23" s="12" t="inlineStr">
        <is>
          <t>Strong vs DARK</t>
        </is>
      </c>
      <c r="C23" s="13" t="inlineStr">
        <is>
          <t>Weak vs DARK</t>
        </is>
      </c>
    </row>
    <row r="24" ht="18" customHeight="1">
      <c r="A24" s="20" t="inlineStr">
        <is>
          <t>DARK</t>
        </is>
      </c>
      <c r="B24" s="15" t="inlineStr">
        <is>
          <t>Strong vs LIGHT</t>
        </is>
      </c>
      <c r="C24" s="16" t="inlineStr">
        <is>
          <t>Weak vs LIGHT</t>
        </is>
      </c>
    </row>
    <row r="27">
      <c r="A27" s="3" t="inlineStr">
        <is>
          <t>RARITY QUICK REFERENCE</t>
        </is>
      </c>
    </row>
    <row r="28">
      <c r="A28" s="4" t="inlineStr">
        <is>
          <t>Tier</t>
        </is>
      </c>
      <c r="B28" s="4" t="inlineStr">
        <is>
          <t>Full Name</t>
        </is>
      </c>
      <c r="C28" s="4" t="inlineStr">
        <is>
          <t>Max Level</t>
        </is>
      </c>
      <c r="D28" s="4" t="inlineStr">
        <is>
          <t>Obtain</t>
        </is>
      </c>
    </row>
    <row r="29" ht="18" customHeight="1">
      <c r="A29" s="21" t="inlineStr">
        <is>
          <t>R</t>
        </is>
      </c>
      <c r="B29" s="6" t="inlineStr">
        <is>
          <t>Rare</t>
        </is>
      </c>
      <c r="C29" s="6" t="inlineStr">
        <is>
          <t>3 uncaps → Lv40 max</t>
        </is>
      </c>
      <c r="D29" s="6" t="inlineStr">
        <is>
          <t>Starter, farmable characters</t>
        </is>
      </c>
    </row>
    <row r="30" ht="18" customHeight="1">
      <c r="A30" s="22" t="inlineStr">
        <is>
          <t>SR</t>
        </is>
      </c>
      <c r="B30" s="9" t="inlineStr">
        <is>
          <t>Super Rare</t>
        </is>
      </c>
      <c r="C30" s="9" t="inlineStr">
        <is>
          <t>4 uncaps → Lv80 max</t>
        </is>
      </c>
      <c r="D30" s="9" t="inlineStr">
        <is>
          <t>Event, story, premium draw</t>
        </is>
      </c>
    </row>
    <row r="31" ht="18" customHeight="1">
      <c r="A31" s="23" t="inlineStr">
        <is>
          <t>SSR</t>
        </is>
      </c>
      <c r="B31" s="6" t="inlineStr">
        <is>
          <t>Super Super Rare</t>
        </is>
      </c>
      <c r="C31" s="6" t="inlineStr">
        <is>
          <t>4 uncaps + 5★ → Lv100</t>
        </is>
      </c>
      <c r="D31" s="6" t="inlineStr">
        <is>
          <t>Premium draw, most meta units</t>
        </is>
      </c>
    </row>
  </sheetData>
  <mergeCells count="5">
    <mergeCell ref="A2:F2"/>
    <mergeCell ref="A1:F1"/>
    <mergeCell ref="A27:F27"/>
    <mergeCell ref="A17:F17"/>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6"/>
  <sheetViews>
    <sheetView showGridLines="0" workbookViewId="0">
      <pane ySplit="3" topLeftCell="A4" activePane="bottomLeft" state="frozen"/>
      <selection pane="bottomLeft" activeCell="A1" sqref="A1"/>
    </sheetView>
  </sheetViews>
  <sheetFormatPr baseColWidth="8" defaultRowHeight="15"/>
  <cols>
    <col width="22" customWidth="1" min="1" max="1"/>
    <col width="45" customWidth="1" min="2" max="2"/>
    <col width="18" customWidth="1" min="3" max="3"/>
    <col width="28" customWidth="1" min="4" max="4"/>
    <col width="55" customWidth="1" min="5" max="5"/>
  </cols>
  <sheetData>
    <row r="1" ht="30" customHeight="1">
      <c r="A1" s="24" t="inlineStr">
        <is>
          <t>CHARACTER STATS &amp; ATTRIBUTES — Source: gbf.wiki/Template:Character</t>
        </is>
      </c>
    </row>
    <row r="2">
      <c r="A2" s="3" t="inlineStr">
        <is>
          <t>CHARACTER DATA FIELDS (from gbf.wiki Template:Character)</t>
        </is>
      </c>
    </row>
    <row r="3">
      <c r="A3" s="25" t="inlineStr">
        <is>
          <t>Field</t>
        </is>
      </c>
      <c r="B3" s="25" t="inlineStr">
        <is>
          <t>Description</t>
        </is>
      </c>
      <c r="C3" s="25" t="inlineStr">
        <is>
          <t>Data Type</t>
        </is>
      </c>
      <c r="D3" s="25" t="inlineStr">
        <is>
          <t>Example (Rackam)</t>
        </is>
      </c>
      <c r="E3" s="25" t="inlineStr">
        <is>
          <t>Notes</t>
        </is>
      </c>
    </row>
    <row r="4" ht="16" customHeight="1">
      <c r="A4" s="26" t="inlineStr">
        <is>
          <t>— BASICS —</t>
        </is>
      </c>
    </row>
    <row r="5" ht="18" customHeight="1">
      <c r="A5" s="27" t="inlineStr">
        <is>
          <t>name</t>
        </is>
      </c>
      <c r="B5" s="9" t="inlineStr">
        <is>
          <t>Character display name</t>
        </is>
      </c>
      <c r="C5" s="28" t="inlineStr">
        <is>
          <t>Text</t>
        </is>
      </c>
      <c r="D5" s="29" t="inlineStr">
        <is>
          <t>Rackam</t>
        </is>
      </c>
      <c r="E5" s="30" t="inlineStr"/>
    </row>
    <row r="6" ht="18" customHeight="1">
      <c r="A6" s="31" t="inlineStr">
        <is>
          <t>rarity</t>
        </is>
      </c>
      <c r="B6" s="6" t="inlineStr">
        <is>
          <t>Card rarity tier</t>
        </is>
      </c>
      <c r="C6" s="32" t="inlineStr">
        <is>
          <t>R/SR/SSR</t>
        </is>
      </c>
      <c r="D6" s="33" t="inlineStr">
        <is>
          <t>SR</t>
        </is>
      </c>
      <c r="E6" s="34" t="inlineStr">
        <is>
          <t>Determines max level, uncap count</t>
        </is>
      </c>
    </row>
    <row r="7" ht="18" customHeight="1">
      <c r="A7" s="27" t="inlineStr">
        <is>
          <t>element</t>
        </is>
      </c>
      <c r="B7" s="9" t="inlineStr">
        <is>
          <t>Character elemental attribute</t>
        </is>
      </c>
      <c r="C7" s="28" t="inlineStr">
        <is>
          <t>Enum</t>
        </is>
      </c>
      <c r="D7" s="29" t="inlineStr">
        <is>
          <t>Fire</t>
        </is>
      </c>
      <c r="E7" s="30" t="inlineStr">
        <is>
          <t>Fire/Water/Earth/Wind/Light/Dark</t>
        </is>
      </c>
    </row>
    <row r="8" ht="18" customHeight="1">
      <c r="A8" s="31" t="inlineStr">
        <is>
          <t>race</t>
        </is>
      </c>
      <c r="B8" s="6" t="inlineStr">
        <is>
          <t>Character race</t>
        </is>
      </c>
      <c r="C8" s="32" t="inlineStr">
        <is>
          <t>Enum</t>
        </is>
      </c>
      <c r="D8" s="33" t="inlineStr">
        <is>
          <t>Human</t>
        </is>
      </c>
      <c r="E8" s="34" t="inlineStr">
        <is>
          <t>Human/Erune/Draph/Harvin/Other</t>
        </is>
      </c>
    </row>
    <row r="9" ht="18" customHeight="1">
      <c r="A9" s="27" t="inlineStr">
        <is>
          <t>type</t>
        </is>
      </c>
      <c r="B9" s="9" t="inlineStr">
        <is>
          <t>Combat role classification</t>
        </is>
      </c>
      <c r="C9" s="28" t="inlineStr">
        <is>
          <t>Enum</t>
        </is>
      </c>
      <c r="D9" s="29" t="inlineStr">
        <is>
          <t>Special</t>
        </is>
      </c>
      <c r="E9" s="30" t="inlineStr">
        <is>
          <t>Attack/Defense/Heal/Balance/Special</t>
        </is>
      </c>
    </row>
    <row r="10" ht="18" customHeight="1">
      <c r="A10" s="31" t="inlineStr">
        <is>
          <t>weapon</t>
        </is>
      </c>
      <c r="B10" s="6" t="inlineStr">
        <is>
          <t>Proficiency weapon type</t>
        </is>
      </c>
      <c r="C10" s="32" t="inlineStr">
        <is>
          <t>Text</t>
        </is>
      </c>
      <c r="D10" s="33" t="inlineStr">
        <is>
          <t>Gun</t>
        </is>
      </c>
      <c r="E10" s="34" t="inlineStr">
        <is>
          <t>Weapon prof gives 120% ATK contribution</t>
        </is>
      </c>
    </row>
    <row r="11" ht="18" customHeight="1">
      <c r="A11" s="27" t="inlineStr">
        <is>
          <t>gender</t>
        </is>
      </c>
      <c r="B11" s="9" t="inlineStr">
        <is>
          <t>Character gender</t>
        </is>
      </c>
      <c r="C11" s="28" t="inlineStr">
        <is>
          <t>m/f/n</t>
        </is>
      </c>
      <c r="D11" s="29" t="inlineStr">
        <is>
          <t>m</t>
        </is>
      </c>
      <c r="E11" s="30" t="inlineStr">
        <is>
          <t>Used by some gender-locked skills</t>
        </is>
      </c>
    </row>
    <row r="12" ht="18" customHeight="1">
      <c r="A12" s="31" t="inlineStr">
        <is>
          <t>release_date</t>
        </is>
      </c>
      <c r="B12" s="6" t="inlineStr">
        <is>
          <t>Date character was added</t>
        </is>
      </c>
      <c r="C12" s="32" t="inlineStr">
        <is>
          <t>Date</t>
        </is>
      </c>
      <c r="D12" s="33" t="inlineStr">
        <is>
          <t>2014-03-10</t>
        </is>
      </c>
      <c r="E12" s="34" t="inlineStr"/>
    </row>
    <row r="13" ht="18" customHeight="1">
      <c r="A13" s="27" t="inlineStr">
        <is>
          <t>obtain</t>
        </is>
      </c>
      <c r="B13" s="9" t="inlineStr">
        <is>
          <t>How to obtain the character</t>
        </is>
      </c>
      <c r="C13" s="28" t="inlineStr">
        <is>
          <t>Text</t>
        </is>
      </c>
      <c r="D13" s="29" t="inlineStr">
        <is>
          <t>main_quest</t>
        </is>
      </c>
      <c r="E13" s="30" t="inlineStr">
        <is>
          <t>main_quest/premium_draw/event/etc.</t>
        </is>
      </c>
    </row>
    <row r="14" ht="16" customHeight="1">
      <c r="A14" s="26" t="inlineStr">
        <is>
          <t>— STATS —</t>
        </is>
      </c>
    </row>
    <row r="15" ht="18" customHeight="1">
      <c r="A15" s="27" t="inlineStr">
        <is>
          <t>min_hp</t>
        </is>
      </c>
      <c r="B15" s="9" t="inlineStr">
        <is>
          <t>HP at level 1 (no uncaps)</t>
        </is>
      </c>
      <c r="C15" s="28" t="inlineStr">
        <is>
          <t>Integer</t>
        </is>
      </c>
      <c r="D15" s="29" t="inlineStr">
        <is>
          <t>200</t>
        </is>
      </c>
      <c r="E15" s="30" t="inlineStr">
        <is>
          <t>Scales to max_hp with leveling</t>
        </is>
      </c>
    </row>
    <row r="16" ht="18" customHeight="1">
      <c r="A16" s="31" t="inlineStr">
        <is>
          <t>max_hp</t>
        </is>
      </c>
      <c r="B16" s="6" t="inlineStr">
        <is>
          <t>HP at max level (4★ uncap)</t>
        </is>
      </c>
      <c r="C16" s="32" t="inlineStr">
        <is>
          <t>Integer</t>
        </is>
      </c>
      <c r="D16" s="33" t="inlineStr">
        <is>
          <t>1250</t>
        </is>
      </c>
      <c r="E16" s="34" t="inlineStr">
        <is>
          <t>Excludes 5★ blue star bonus</t>
        </is>
      </c>
    </row>
    <row r="17" ht="18" customHeight="1">
      <c r="A17" s="27" t="inlineStr">
        <is>
          <t>flb_hp</t>
        </is>
      </c>
      <c r="B17" s="9" t="inlineStr">
        <is>
          <t>HP at 5★ (fifth uncap / FLB)</t>
        </is>
      </c>
      <c r="C17" s="28" t="inlineStr">
        <is>
          <t>Integer</t>
        </is>
      </c>
      <c r="D17" s="29" t="inlineStr">
        <is>
          <t>1450</t>
        </is>
      </c>
      <c r="E17" s="30" t="inlineStr">
        <is>
          <t>FLB = Full Limit Break</t>
        </is>
      </c>
    </row>
    <row r="18" ht="18" customHeight="1">
      <c r="A18" s="31" t="inlineStr">
        <is>
          <t>bonus_hp</t>
        </is>
      </c>
      <c r="B18" s="6" t="inlineStr">
        <is>
          <t>HP from Cross-Fate Episodes</t>
        </is>
      </c>
      <c r="C18" s="32" t="inlineStr">
        <is>
          <t>Integer</t>
        </is>
      </c>
      <c r="D18" s="33" t="inlineStr">
        <is>
          <t>—</t>
        </is>
      </c>
      <c r="E18" s="34" t="inlineStr">
        <is>
          <t>Permanent bonus from unlocking fates</t>
        </is>
      </c>
    </row>
    <row r="19" ht="18" customHeight="1">
      <c r="A19" s="27" t="inlineStr">
        <is>
          <t>min_atk</t>
        </is>
      </c>
      <c r="B19" s="9" t="inlineStr">
        <is>
          <t>ATK at level 1</t>
        </is>
      </c>
      <c r="C19" s="28" t="inlineStr">
        <is>
          <t>Integer</t>
        </is>
      </c>
      <c r="D19" s="29" t="inlineStr">
        <is>
          <t>1000</t>
        </is>
      </c>
      <c r="E19" s="30" t="inlineStr"/>
    </row>
    <row r="20" ht="18" customHeight="1">
      <c r="A20" s="31" t="inlineStr">
        <is>
          <t>max_atk</t>
        </is>
      </c>
      <c r="B20" s="6" t="inlineStr">
        <is>
          <t>ATK at max level (4★)</t>
        </is>
      </c>
      <c r="C20" s="32" t="inlineStr">
        <is>
          <t>Integer</t>
        </is>
      </c>
      <c r="D20" s="33" t="inlineStr">
        <is>
          <t>6250</t>
        </is>
      </c>
      <c r="E20" s="34" t="inlineStr"/>
    </row>
    <row r="21" ht="18" customHeight="1">
      <c r="A21" s="27" t="inlineStr">
        <is>
          <t>flb_atk</t>
        </is>
      </c>
      <c r="B21" s="9" t="inlineStr">
        <is>
          <t>ATK at 5★ FLB</t>
        </is>
      </c>
      <c r="C21" s="28" t="inlineStr">
        <is>
          <t>Integer</t>
        </is>
      </c>
      <c r="D21" s="29" t="inlineStr">
        <is>
          <t>7250</t>
        </is>
      </c>
      <c r="E21" s="30" t="inlineStr"/>
    </row>
    <row r="22" ht="18" customHeight="1">
      <c r="A22" s="31" t="inlineStr">
        <is>
          <t>bonus_atk</t>
        </is>
      </c>
      <c r="B22" s="6" t="inlineStr">
        <is>
          <t>ATK from Cross-Fate Episodes</t>
        </is>
      </c>
      <c r="C22" s="32" t="inlineStr">
        <is>
          <t>Integer</t>
        </is>
      </c>
      <c r="D22" s="33" t="inlineStr">
        <is>
          <t>330</t>
        </is>
      </c>
      <c r="E22" s="34" t="inlineStr">
        <is>
          <t>Stacks on top of max_atk / flb_atk</t>
        </is>
      </c>
    </row>
    <row r="23" ht="18" customHeight="1">
      <c r="A23" s="27" t="inlineStr">
        <is>
          <t>base_da</t>
        </is>
      </c>
      <c r="B23" s="9" t="inlineStr">
        <is>
          <t>Innate double attack rate %</t>
        </is>
      </c>
      <c r="C23" s="28" t="inlineStr">
        <is>
          <t>Float</t>
        </is>
      </c>
      <c r="D23" s="29" t="inlineStr">
        <is>
          <t>5–10%</t>
        </is>
      </c>
      <c r="E23" s="30" t="inlineStr">
        <is>
          <t>Base DA before buffs/weapon skills</t>
        </is>
      </c>
    </row>
    <row r="24" ht="18" customHeight="1">
      <c r="A24" s="31" t="inlineStr">
        <is>
          <t>base_ta</t>
        </is>
      </c>
      <c r="B24" s="6" t="inlineStr">
        <is>
          <t>Innate triple attack rate %</t>
        </is>
      </c>
      <c r="C24" s="32" t="inlineStr">
        <is>
          <t>Float</t>
        </is>
      </c>
      <c r="D24" s="33" t="inlineStr">
        <is>
          <t>0–5%</t>
        </is>
      </c>
      <c r="E24" s="34" t="inlineStr">
        <is>
          <t>Base TA before buffs/weapon skills</t>
        </is>
      </c>
    </row>
    <row r="25" ht="16" customHeight="1">
      <c r="A25" s="26" t="inlineStr">
        <is>
          <t>— UNCAP —</t>
        </is>
      </c>
    </row>
    <row r="26" ht="18" customHeight="1">
      <c r="A26" s="31" t="inlineStr">
        <is>
          <t>base_evo</t>
        </is>
      </c>
      <c r="B26" s="6" t="inlineStr">
        <is>
          <t>Base uncap stars</t>
        </is>
      </c>
      <c r="C26" s="32" t="inlineStr">
        <is>
          <t>Integer</t>
        </is>
      </c>
      <c r="D26" s="33" t="inlineStr">
        <is>
          <t>3</t>
        </is>
      </c>
      <c r="E26" s="34" t="inlineStr">
        <is>
          <t>Stars at initial acquisition</t>
        </is>
      </c>
    </row>
    <row r="27" ht="18" customHeight="1">
      <c r="A27" s="27" t="inlineStr">
        <is>
          <t>max_evo</t>
        </is>
      </c>
      <c r="B27" s="9" t="inlineStr">
        <is>
          <t>Maximum uncap stars</t>
        </is>
      </c>
      <c r="C27" s="28" t="inlineStr">
        <is>
          <t>Integer</t>
        </is>
      </c>
      <c r="D27" s="29" t="inlineStr">
        <is>
          <t>5</t>
        </is>
      </c>
      <c r="E27" s="30" t="inlineStr">
        <is>
          <t>4 for most SR/SSR, 5 = FLB</t>
        </is>
      </c>
    </row>
    <row r="28" ht="18" customHeight="1">
      <c r="A28" s="31" t="inlineStr">
        <is>
          <t>5star</t>
        </is>
      </c>
      <c r="B28" s="6" t="inlineStr">
        <is>
          <t>Has 5★ FLB upgrade</t>
        </is>
      </c>
      <c r="C28" s="32" t="inlineStr">
        <is>
          <t>yes/no</t>
        </is>
      </c>
      <c r="D28" s="33" t="inlineStr">
        <is>
          <t>yes</t>
        </is>
      </c>
      <c r="E28" s="34" t="inlineStr">
        <is>
          <t>Grants new skills, CA upgrade, new art</t>
        </is>
      </c>
    </row>
    <row r="29" ht="18" customHeight="1">
      <c r="A29" s="27" t="inlineStr">
        <is>
          <t>5star_date</t>
        </is>
      </c>
      <c r="B29" s="9" t="inlineStr">
        <is>
          <t>Date 5★ was added</t>
        </is>
      </c>
      <c r="C29" s="28" t="inlineStr">
        <is>
          <t>Date</t>
        </is>
      </c>
      <c r="D29" s="29" t="inlineStr">
        <is>
          <t>2017-09-26</t>
        </is>
      </c>
      <c r="E29" s="30" t="inlineStr"/>
    </row>
    <row r="30" ht="16" customHeight="1">
      <c r="A30" s="26" t="inlineStr">
        <is>
          <t>— CHARGE ATTACK (OUGI) —</t>
        </is>
      </c>
    </row>
    <row r="31" ht="18" customHeight="1">
      <c r="A31" s="27" t="inlineStr">
        <is>
          <t>ougi_name</t>
        </is>
      </c>
      <c r="B31" s="9" t="inlineStr">
        <is>
          <t>Charge attack name</t>
        </is>
      </c>
      <c r="C31" s="28" t="inlineStr">
        <is>
          <t>Text</t>
        </is>
      </c>
      <c r="D31" s="29" t="inlineStr">
        <is>
          <t>Promised Warmth</t>
        </is>
      </c>
      <c r="E31" s="30" t="inlineStr">
        <is>
          <t>Upgraded at 4★ uncap</t>
        </is>
      </c>
    </row>
    <row r="32" ht="18" customHeight="1">
      <c r="A32" s="31" t="inlineStr">
        <is>
          <t>ougi_desc</t>
        </is>
      </c>
      <c r="B32" s="6" t="inlineStr">
        <is>
          <t>Charge attack effect description</t>
        </is>
      </c>
      <c r="C32" s="32" t="inlineStr">
        <is>
          <t>Text</t>
        </is>
      </c>
      <c r="D32" s="33" t="inlineStr">
        <is>
          <t>(effect text)</t>
        </is>
      </c>
      <c r="E32" s="34" t="inlineStr">
        <is>
          <t>Damage + additional effects</t>
        </is>
      </c>
    </row>
    <row r="33" ht="18" customHeight="1">
      <c r="A33" s="27" t="inlineStr">
        <is>
          <t>ougi_count</t>
        </is>
      </c>
      <c r="B33" s="9" t="inlineStr">
        <is>
          <t>Number of charge attacks (forms)</t>
        </is>
      </c>
      <c r="C33" s="28" t="inlineStr">
        <is>
          <t>Integer</t>
        </is>
      </c>
      <c r="D33" s="29" t="inlineStr">
        <is>
          <t>1</t>
        </is>
      </c>
      <c r="E33" s="30" t="inlineStr">
        <is>
          <t>Multi-form chars can have 2-4</t>
        </is>
      </c>
    </row>
    <row r="34" ht="16" customHeight="1">
      <c r="A34" s="26" t="inlineStr">
        <is>
          <t>— ACTIVE SKILLS (up to 4) —</t>
        </is>
      </c>
    </row>
    <row r="35" ht="18" customHeight="1">
      <c r="A35" s="27" t="inlineStr">
        <is>
          <t>a1_name</t>
        </is>
      </c>
      <c r="B35" s="9" t="inlineStr">
        <is>
          <t>Skill 1 name</t>
        </is>
      </c>
      <c r="C35" s="28" t="inlineStr">
        <is>
          <t>Text</t>
        </is>
      </c>
      <c r="D35" s="29" t="inlineStr">
        <is>
          <t>Burning Strike</t>
        </is>
      </c>
      <c r="E35" s="30" t="inlineStr"/>
    </row>
    <row r="36" ht="18" customHeight="1">
      <c r="A36" s="31" t="inlineStr">
        <is>
          <t>a1_cd</t>
        </is>
      </c>
      <c r="B36" s="6" t="inlineStr">
        <is>
          <t>Skill 1 cooldown (turns)</t>
        </is>
      </c>
      <c r="C36" s="32" t="inlineStr">
        <is>
          <t>Integer</t>
        </is>
      </c>
      <c r="D36" s="33" t="inlineStr">
        <is>
          <t>6</t>
        </is>
      </c>
      <c r="E36" s="34" t="inlineStr">
        <is>
          <t>Starts at this value, counts down each turn</t>
        </is>
      </c>
    </row>
    <row r="37" ht="18" customHeight="1">
      <c r="A37" s="27" t="inlineStr">
        <is>
          <t>a1_dur</t>
        </is>
      </c>
      <c r="B37" s="9" t="inlineStr">
        <is>
          <t>Skill 1 effect duration (turns)</t>
        </is>
      </c>
      <c r="C37" s="28" t="inlineStr">
        <is>
          <t>Integer</t>
        </is>
      </c>
      <c r="D37" s="29" t="inlineStr">
        <is>
          <t>3</t>
        </is>
      </c>
      <c r="E37" s="30" t="inlineStr">
        <is>
          <t>How long buff/debuff lasts</t>
        </is>
      </c>
    </row>
    <row r="38" ht="18" customHeight="1">
      <c r="A38" s="31" t="inlineStr">
        <is>
          <t>a1_oblevel</t>
        </is>
      </c>
      <c r="B38" s="6" t="inlineStr">
        <is>
          <t>Level skill is obtained</t>
        </is>
      </c>
      <c r="C38" s="32" t="inlineStr">
        <is>
          <t>Integer</t>
        </is>
      </c>
      <c r="D38" s="33" t="inlineStr">
        <is>
          <t>1</t>
        </is>
      </c>
      <c r="E38" s="34" t="inlineStr">
        <is>
          <t>Some skills unlock at uncap milestones</t>
        </is>
      </c>
    </row>
    <row r="39" ht="18" customHeight="1">
      <c r="A39" s="27" t="inlineStr">
        <is>
          <t>a1_effdesc</t>
        </is>
      </c>
      <c r="B39" s="9" t="inlineStr">
        <is>
          <t>Skill 1 full effect description</t>
        </is>
      </c>
      <c r="C39" s="28" t="inlineStr">
        <is>
          <t>Text</t>
        </is>
      </c>
      <c r="D39" s="29" t="inlineStr">
        <is>
          <t>(effect text)</t>
        </is>
      </c>
      <c r="E39" s="30" t="inlineStr">
        <is>
          <t>Damage/buff/debuff description</t>
        </is>
      </c>
    </row>
    <row r="40" ht="18" customHeight="1">
      <c r="A40" s="31" t="inlineStr">
        <is>
          <t>a2_name / a3_name / a4_name</t>
        </is>
      </c>
      <c r="B40" s="6" t="inlineStr">
        <is>
          <t>Skills 2, 3, 4</t>
        </is>
      </c>
      <c r="C40" s="32" t="inlineStr">
        <is>
          <t>Text</t>
        </is>
      </c>
      <c r="D40" s="33" t="inlineStr">
        <is>
          <t>...</t>
        </is>
      </c>
      <c r="E40" s="34" t="inlineStr">
        <is>
          <t>Same fields as skill 1; up to 4 skills</t>
        </is>
      </c>
    </row>
    <row r="41" ht="16" customHeight="1">
      <c r="A41" s="26" t="inlineStr">
        <is>
          <t>— SUPPORT SKILLS (passive) —</t>
        </is>
      </c>
    </row>
    <row r="42" ht="18" customHeight="1">
      <c r="A42" s="31" t="inlineStr">
        <is>
          <t>s1_name</t>
        </is>
      </c>
      <c r="B42" s="6" t="inlineStr">
        <is>
          <t>Support skill 1 name</t>
        </is>
      </c>
      <c r="C42" s="32" t="inlineStr">
        <is>
          <t>Text</t>
        </is>
      </c>
      <c r="D42" s="33" t="inlineStr">
        <is>
          <t>Gun Mastery</t>
        </is>
      </c>
      <c r="E42" s="34" t="inlineStr">
        <is>
          <t>Passive — always active in combat</t>
        </is>
      </c>
    </row>
    <row r="43" ht="18" customHeight="1">
      <c r="A43" s="27" t="inlineStr">
        <is>
          <t>s1_effdesc</t>
        </is>
      </c>
      <c r="B43" s="9" t="inlineStr">
        <is>
          <t>Support skill 1 effect</t>
        </is>
      </c>
      <c r="C43" s="28" t="inlineStr">
        <is>
          <t>Text</t>
        </is>
      </c>
      <c r="D43" s="29" t="inlineStr">
        <is>
          <t>Boost to Gun DMG</t>
        </is>
      </c>
      <c r="E43" s="30" t="inlineStr">
        <is>
          <t>No cooldown; always applies</t>
        </is>
      </c>
    </row>
    <row r="44" ht="18" customHeight="1">
      <c r="A44" s="31" t="inlineStr">
        <is>
          <t>s2_name</t>
        </is>
      </c>
      <c r="B44" s="6" t="inlineStr">
        <is>
          <t>Support skill 2 name</t>
        </is>
      </c>
      <c r="C44" s="32" t="inlineStr">
        <is>
          <t>Text</t>
        </is>
      </c>
      <c r="D44" s="33" t="inlineStr">
        <is>
          <t>—</t>
        </is>
      </c>
      <c r="E44" s="34" t="inlineStr">
        <is>
          <t>Unlocked at higher uncap levels</t>
        </is>
      </c>
    </row>
    <row r="45" ht="16" customHeight="1">
      <c r="A45" s="26" t="inlineStr">
        <is>
          <t>— EXTENDED MASTERY PERKS (EMP) —</t>
        </is>
      </c>
    </row>
    <row r="46" ht="18" customHeight="1">
      <c r="A46" s="31" t="inlineStr">
        <is>
          <t>perk11–perk15</t>
        </is>
      </c>
      <c r="B46" s="6" t="inlineStr">
        <is>
          <t>EMP grid rows</t>
        </is>
      </c>
      <c r="C46" s="32" t="inlineStr">
        <is>
          <t>Text</t>
        </is>
      </c>
      <c r="D46" s="33" t="inlineStr">
        <is>
          <t>Critical/ATK/etc.</t>
        </is>
      </c>
      <c r="E46" s="34" t="inlineStr">
        <is>
          <t>5 perks per character, bottom row unique</t>
        </is>
      </c>
    </row>
  </sheetData>
  <mergeCells count="9">
    <mergeCell ref="A30:E30"/>
    <mergeCell ref="A34:E34"/>
    <mergeCell ref="A4:E4"/>
    <mergeCell ref="A25:E25"/>
    <mergeCell ref="A2:N2"/>
    <mergeCell ref="A41:E41"/>
    <mergeCell ref="A45:E45"/>
    <mergeCell ref="A14:E14"/>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showGridLines="0" workbookViewId="0">
      <pane ySplit="2" topLeftCell="A3" activePane="bottomLeft" state="frozen"/>
      <selection pane="bottomLeft" activeCell="A1" sqref="A1"/>
    </sheetView>
  </sheetViews>
  <sheetFormatPr baseColWidth="8" defaultRowHeight="15"/>
  <cols>
    <col width="26" customWidth="1" min="1" max="1"/>
    <col width="40" customWidth="1" min="2" max="2"/>
    <col width="35" customWidth="1" min="3" max="3"/>
    <col width="20" customWidth="1" min="4" max="4"/>
    <col width="20" customWidth="1" min="5" max="5"/>
    <col width="20" customWidth="1" min="6" max="6"/>
    <col width="45" customWidth="1" min="7" max="7"/>
  </cols>
  <sheetData>
    <row r="1" ht="30" customHeight="1">
      <c r="A1" s="24" t="inlineStr">
        <is>
          <t>DAMAGE FORMULA — Source: gbf.wiki/Damage_Formula &amp; /Detailed_Damage_Formula</t>
        </is>
      </c>
    </row>
    <row r="2">
      <c r="A2" s="3" t="inlineStr">
        <is>
          <t>MASTER DAMAGE FORMULA</t>
        </is>
      </c>
    </row>
    <row r="3" ht="20" customHeight="1">
      <c r="A3" s="35" t="inlineStr">
        <is>
          <t>Normal Damage = (Base Damage × Sleeping Boost × Random Modifier ±5%) / Enemy DEF</t>
        </is>
      </c>
    </row>
    <row r="4" ht="28" customHeight="1">
      <c r="A4" s="36" t="inlineStr">
        <is>
          <t>Base Damage = Total ATK × Elemental Boost × (Normal × Omega × EX Boosts) × Char Enmity/Stamina × Perpetuity × Unique Stackable × Assassin × Crew Bonuses × ATK Down Effect</t>
        </is>
      </c>
    </row>
    <row r="5">
      <c r="A5" s="3" t="inlineStr">
        <is>
          <t>DAMAGE MULTIPLIER CATEGORIES</t>
        </is>
      </c>
    </row>
    <row r="6">
      <c r="A6" s="25" t="inlineStr">
        <is>
          <t>Multiplier</t>
        </is>
      </c>
      <c r="B6" s="25" t="inlineStr">
        <is>
          <t>Formula</t>
        </is>
      </c>
      <c r="C6" s="25" t="inlineStr">
        <is>
          <t>Weapon Skill Types</t>
        </is>
      </c>
      <c r="D6" s="25" t="inlineStr">
        <is>
          <t>Summon Source</t>
        </is>
      </c>
      <c r="E6" s="25" t="inlineStr">
        <is>
          <t>Buff Source</t>
        </is>
      </c>
      <c r="F6" s="25" t="inlineStr">
        <is>
          <t>Stacking Rule</t>
        </is>
      </c>
      <c r="G6" s="25" t="inlineStr">
        <is>
          <t>Notes</t>
        </is>
      </c>
    </row>
    <row r="7" ht="38" customHeight="1">
      <c r="A7" s="31" t="inlineStr">
        <is>
          <t>Total ATK</t>
        </is>
      </c>
      <c r="B7" s="6" t="inlineStr">
        <is>
          <t>Σ(Char ATK + Grid ATK + Summon ATK)</t>
        </is>
      </c>
      <c r="C7" s="37" t="inlineStr">
        <is>
          <t>—</t>
        </is>
      </c>
      <c r="D7" s="38" t="inlineStr">
        <is>
          <t>Summon ATK values</t>
        </is>
      </c>
      <c r="E7" s="33" t="inlineStr">
        <is>
          <t>—</t>
        </is>
      </c>
      <c r="F7" s="39" t="inlineStr">
        <is>
          <t>Additive sum</t>
        </is>
      </c>
      <c r="G7" s="34" t="inlineStr">
        <is>
          <t>Weapon ATK contributes 120% if character has that weapon proficiency</t>
        </is>
      </c>
    </row>
    <row r="8" ht="38" customHeight="1">
      <c r="A8" s="27" t="inlineStr">
        <is>
          <t>Elemental Boost</t>
        </is>
      </c>
      <c r="B8" s="9" t="inlineStr">
        <is>
          <t>1 + Elem ATK % + On-Element 50% + Summon Elem Aura</t>
        </is>
      </c>
      <c r="C8" s="40" t="inlineStr">
        <is>
          <t>—</t>
        </is>
      </c>
      <c r="D8" s="41" t="inlineStr">
        <is>
          <t>Elemental summons (Shiva, Varuna…)</t>
        </is>
      </c>
      <c r="E8" s="29" t="inlineStr">
        <is>
          <t>Elem ATK Up buffs (e.g. Fire ATK Up 50%)</t>
        </is>
      </c>
      <c r="F8" s="42" t="inlineStr">
        <is>
          <t>Additive within category</t>
        </is>
      </c>
      <c r="G8" s="30" t="inlineStr">
        <is>
          <t>On-element advantage = +50%. Off-element = no bonus. Opposite = -25%</t>
        </is>
      </c>
    </row>
    <row r="9" ht="38" customHeight="1">
      <c r="A9" s="31" t="inlineStr">
        <is>
          <t>Normal ATK Boost</t>
        </is>
      </c>
      <c r="B9" s="6" t="inlineStr">
        <is>
          <t>1 + (Normal% × Optimus Aura) + Bahamut + Ultima + Normal Buffs</t>
        </is>
      </c>
      <c r="C9" s="37" t="inlineStr">
        <is>
          <t>ATK_NORMAL (Might/Majesty/Supremacy)</t>
        </is>
      </c>
      <c r="D9" s="38" t="inlineStr">
        <is>
          <t>Optimus series aura multiplies Normal weapon skills</t>
        </is>
      </c>
      <c r="E9" s="33" t="inlineStr">
        <is>
          <t>Normal ATK Up buffs from skills</t>
        </is>
      </c>
      <c r="F9" s="39" t="inlineStr">
        <is>
          <t>Additive within sub-type; Optimus multiplies</t>
        </is>
      </c>
      <c r="G9" s="34" t="inlineStr">
        <is>
          <t>Normal II is a stronger variant with higher base %. Bahamut/Ultima are separate sub-types</t>
        </is>
      </c>
    </row>
    <row r="10" ht="38" customHeight="1">
      <c r="A10" s="27" t="inlineStr">
        <is>
          <t>Omega ATK Boost</t>
        </is>
      </c>
      <c r="B10" s="9" t="inlineStr">
        <is>
          <t>1 + (Omega% × Omega/Magna Aura)</t>
        </is>
      </c>
      <c r="C10" s="40" t="inlineStr">
        <is>
          <t>ATK_OMEGA (Mistfall/Glorybind/Ascension)</t>
        </is>
      </c>
      <c r="D10" s="41" t="inlineStr">
        <is>
          <t>Omega raid summons (Colossus, Leviathan…)</t>
        </is>
      </c>
      <c r="E10" s="29" t="inlineStr">
        <is>
          <t>Omega ATK Up buffs</t>
        </is>
      </c>
      <c r="F10" s="42" t="inlineStr">
        <is>
          <t>Additive; Omega summon aura doubles Omega weapon skills</t>
        </is>
      </c>
      <c r="G10" s="30" t="inlineStr">
        <is>
          <t>Magna = Omega in older terminology. Core of the Magna grid strategy</t>
        </is>
      </c>
    </row>
    <row r="11" ht="38" customHeight="1">
      <c r="A11" s="31" t="inlineStr">
        <is>
          <t>EX ATK Boost</t>
        </is>
      </c>
      <c r="B11" s="6" t="inlineStr">
        <is>
          <t>1 + EX%</t>
        </is>
      </c>
      <c r="C11" s="37" t="inlineStr">
        <is>
          <t>ATK_EX (Voltage, Wrath, Grand Epic)</t>
        </is>
      </c>
      <c r="D11" s="38" t="inlineStr">
        <is>
          <t>Arcarum Evoker summons</t>
        </is>
      </c>
      <c r="E11" s="33" t="inlineStr">
        <is>
          <t>EX ATK Up buffs</t>
        </is>
      </c>
      <c r="F11" s="39" t="inlineStr">
        <is>
          <t>Additive, no summon multiplier</t>
        </is>
      </c>
      <c r="G11" s="34" t="inlineStr">
        <is>
          <t>Separate from Normal/Omega. Event weapons and Astral/Ultima weapons often EX</t>
        </is>
      </c>
    </row>
    <row r="12" ht="38" customHeight="1">
      <c r="A12" s="27" t="inlineStr">
        <is>
          <t>Stamina Modifier</t>
        </is>
      </c>
      <c r="B12" s="9" t="inlineStr">
        <is>
          <t>Increases as HP stays HIGH. Max at 100% HP</t>
        </is>
      </c>
      <c r="C12" s="40" t="inlineStr">
        <is>
          <t>ATK_NORMAL / OMEGA / EX Stamina</t>
        </is>
      </c>
      <c r="D12" s="41" t="inlineStr">
        <is>
          <t>—</t>
        </is>
      </c>
      <c r="E12" s="29" t="inlineStr">
        <is>
          <t>—</t>
        </is>
      </c>
      <c r="F12" s="42" t="inlineStr">
        <is>
          <t>HP-ratio based</t>
        </is>
      </c>
      <c r="G12" s="30" t="inlineStr">
        <is>
          <t>Formula: uses cubic curve. Best in Full HP teams. Opposite of Enmity</t>
        </is>
      </c>
    </row>
    <row r="13" ht="38" customHeight="1">
      <c r="A13" s="31" t="inlineStr">
        <is>
          <t>Enmity Modifier</t>
        </is>
      </c>
      <c r="B13" s="6" t="inlineStr">
        <is>
          <t>Increases as HP drops LOW. Peaks ~1–25% HP</t>
        </is>
      </c>
      <c r="C13" s="37" t="inlineStr">
        <is>
          <t>ATK_NORMAL / OMEGA / EX Enmity</t>
        </is>
      </c>
      <c r="D13" s="38" t="inlineStr">
        <is>
          <t>—</t>
        </is>
      </c>
      <c r="E13" s="33" t="inlineStr">
        <is>
          <t>—</t>
        </is>
      </c>
      <c r="F13" s="39" t="inlineStr">
        <is>
          <t>HP-ratio based</t>
        </is>
      </c>
      <c r="G13" s="34" t="inlineStr">
        <is>
          <t>Activates at 75% HP, steep increase below 50%. Great for Dark teams</t>
        </is>
      </c>
    </row>
    <row r="14" ht="38" customHeight="1">
      <c r="A14" s="27" t="inlineStr">
        <is>
          <t>Critical Damage</t>
        </is>
      </c>
      <c r="B14" s="9" t="inlineStr">
        <is>
          <t>+50% damage on crit proc (fixed modifier)</t>
        </is>
      </c>
      <c r="C14" s="40" t="inlineStr">
        <is>
          <t>CRITICAL_RATE weapon skills</t>
        </is>
      </c>
      <c r="D14" s="41" t="inlineStr">
        <is>
          <t>—</t>
        </is>
      </c>
      <c r="E14" s="29" t="inlineStr">
        <is>
          <t>Crit Rate Up buffs from EMP or skills</t>
        </is>
      </c>
      <c r="F14" s="42" t="inlineStr">
        <is>
          <t>Weapon skill + buff + EMP activate independently</t>
        </is>
      </c>
      <c r="G14" s="30" t="inlineStr">
        <is>
          <t>Each source rolls separately. Cap: 100% crit rate total possible</t>
        </is>
      </c>
    </row>
    <row r="15" ht="38" customHeight="1">
      <c r="A15" s="31" t="inlineStr">
        <is>
          <t>Enemy DEF</t>
        </is>
      </c>
      <c r="B15" s="6" t="inlineStr">
        <is>
          <t>Innate DEF × (1 + DEF Up - DEF Down - Unique DEF Down)</t>
        </is>
      </c>
      <c r="C15" s="37" t="inlineStr">
        <is>
          <t>—</t>
        </is>
      </c>
      <c r="D15" s="38" t="inlineStr">
        <is>
          <t>—</t>
        </is>
      </c>
      <c r="E15" s="33" t="inlineStr">
        <is>
          <t>DEF Down debuffs (Armor Break 20%, Miserable Mist 25%)</t>
        </is>
      </c>
      <c r="F15" s="39" t="inlineStr">
        <is>
          <t>Additive DEF reduction. Single + Dual stack to cap</t>
        </is>
      </c>
      <c r="G15" s="34" t="inlineStr">
        <is>
          <t>Standard enemy DEF = 10. DEF Down cap = 50%. Dual-type skills stack beyond single cap</t>
        </is>
      </c>
    </row>
    <row r="16" ht="38" customHeight="1">
      <c r="A16" s="27" t="inlineStr">
        <is>
          <t>Damage Cap</t>
        </is>
      </c>
      <c r="B16" s="9" t="inlineStr">
        <is>
          <t>Per-hit cap varies by content. Modified by skills</t>
        </is>
      </c>
      <c r="C16" s="40" t="inlineStr">
        <is>
          <t>DMG_CAP weapon skills</t>
        </is>
      </c>
      <c r="D16" s="41" t="inlineStr">
        <is>
          <t>Some summon sub auras boost cap</t>
        </is>
      </c>
      <c r="E16" s="29" t="inlineStr">
        <is>
          <t>C.A. DMG Cap Up (EMP), Skill DMG Cap Up</t>
        </is>
      </c>
      <c r="F16" s="42" t="inlineStr">
        <is>
          <t>Additive cap boosts stack up to +20% max</t>
        </is>
      </c>
      <c r="G16" s="30" t="inlineStr">
        <is>
          <t>Normal ATK cap ≈ 1.5M–2M. C.A. cap higher. Skills with low individual caps</t>
        </is>
      </c>
    </row>
    <row r="18" ht="16" customHeight="1">
      <c r="A18" s="3" t="inlineStr">
        <is>
          <t>WORKED EXAMPLE (from gbf.wiki)</t>
        </is>
      </c>
    </row>
    <row r="19" ht="18" customHeight="1">
      <c r="A19" s="32" t="inlineStr">
        <is>
          <t>Grid</t>
        </is>
      </c>
      <c r="C19" s="33" t="inlineStr">
        <is>
          <t>1× Big Normal, 3× Big Omega, 3× Med Omega, 1× Big EX, 2× Med Normal</t>
        </is>
      </c>
    </row>
    <row r="20" ht="18" customHeight="1">
      <c r="A20" s="28" t="inlineStr">
        <is>
          <t>Normal Boost</t>
        </is>
      </c>
      <c r="C20" s="29">
        <f> 1 + 24% (weapons) = 1.24</f>
        <v/>
      </c>
    </row>
    <row r="21" ht="18" customHeight="1">
      <c r="A21" s="32" t="inlineStr">
        <is>
          <t>Omega Boost (no summon)</t>
        </is>
      </c>
      <c r="C21" s="33">
        <f> 1 + 51% (weapons) = 1.51</f>
        <v/>
      </c>
    </row>
    <row r="22" ht="18" customHeight="1">
      <c r="A22" s="28" t="inlineStr">
        <is>
          <t>Omega Boost (3★ Omega summon 100%)</t>
        </is>
      </c>
      <c r="C22" s="29">
        <f> 1 + (51% × 200%) = 2.02</f>
        <v/>
      </c>
    </row>
    <row r="23" ht="18" customHeight="1">
      <c r="A23" s="32" t="inlineStr">
        <is>
          <t>EX Boost</t>
        </is>
      </c>
      <c r="C23" s="33">
        <f> 1 + 10% = 1.10</f>
        <v/>
      </c>
    </row>
    <row r="24" ht="18" customHeight="1">
      <c r="A24" s="28" t="inlineStr">
        <is>
          <t>Elemental Boost (Shiva 120% + Ifrit 60% + on-element 50%)</t>
        </is>
      </c>
      <c r="C24" s="29">
        <f> 1 + 50% + 120% + 60% = 3.30</f>
        <v/>
      </c>
    </row>
    <row r="25" ht="18" customHeight="1">
      <c r="A25" s="32" t="inlineStr">
        <is>
          <t>Base DMG (ATK=5000, no Omega summon)</t>
        </is>
      </c>
      <c r="C25" s="33">
        <f> 5000 × 1.24 × 1.51 × 1.10 × 3.30 = ~33,984</f>
        <v/>
      </c>
    </row>
    <row r="26" ht="18" customHeight="1">
      <c r="A26" s="28" t="inlineStr">
        <is>
          <t>Base DMG (ATK=5000, with Omega summon)</t>
        </is>
      </c>
      <c r="C26" s="29">
        <f> 5000 × 1.24 × 2.02 × 1.10 × 2.70 = ~37,196</f>
        <v/>
      </c>
    </row>
    <row r="27" ht="18" customHeight="1">
      <c r="A27" s="32" t="inlineStr">
        <is>
          <t>Actual Normal Damage (vs DEF 10, no debuffs)</t>
        </is>
      </c>
      <c r="C27" s="33">
        <f> ~33,984 / 10 × ±5% = ~3,398 ± 170 per hit</f>
        <v/>
      </c>
    </row>
    <row r="28" ht="18" customHeight="1">
      <c r="A28" s="28" t="inlineStr">
        <is>
          <t>With 45% DEF Down (Mist + Armor Break)</t>
        </is>
      </c>
      <c r="C28" s="29">
        <f> ~33,984 / 5.5 × ±5% = ~6,179 ± 309 per hit</f>
        <v/>
      </c>
    </row>
  </sheetData>
  <mergeCells count="26">
    <mergeCell ref="A24:B24"/>
    <mergeCell ref="C24:G24"/>
    <mergeCell ref="A4:G4"/>
    <mergeCell ref="C26:G26"/>
    <mergeCell ref="C20:G20"/>
    <mergeCell ref="A25:B25"/>
    <mergeCell ref="C25:G25"/>
    <mergeCell ref="C22:G22"/>
    <mergeCell ref="A27:B27"/>
    <mergeCell ref="A26:B26"/>
    <mergeCell ref="A21:B21"/>
    <mergeCell ref="C21:G21"/>
    <mergeCell ref="A1:G1"/>
    <mergeCell ref="C27:G27"/>
    <mergeCell ref="C23:G23"/>
    <mergeCell ref="A23:B23"/>
    <mergeCell ref="A22:B22"/>
    <mergeCell ref="A20:B20"/>
    <mergeCell ref="A18:G18"/>
    <mergeCell ref="A3:G3"/>
    <mergeCell ref="A19:B19"/>
    <mergeCell ref="A28:B28"/>
    <mergeCell ref="C28:G28"/>
    <mergeCell ref="C19:G19"/>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pane ySplit="3" topLeftCell="A4" activePane="bottomLeft" state="frozen"/>
      <selection pane="bottomLeft" activeCell="A1" sqref="A1"/>
    </sheetView>
  </sheetViews>
  <sheetFormatPr baseColWidth="8" defaultRowHeight="15"/>
  <cols>
    <col width="24" customWidth="1" min="1" max="1"/>
    <col width="18" customWidth="1" min="2" max="2"/>
    <col width="18" customWidth="1" min="3" max="3"/>
    <col width="14" customWidth="1" min="4" max="4"/>
    <col width="16" customWidth="1" min="5" max="5"/>
    <col width="14" customWidth="1" min="6" max="6"/>
    <col width="16" customWidth="1" min="7" max="7"/>
    <col width="48" customWidth="1" min="8" max="8"/>
  </cols>
  <sheetData>
    <row r="1" ht="30" customHeight="1">
      <c r="A1" s="24" t="inlineStr">
        <is>
          <t>SKILL TYPES &amp; MECHANICS — Source: gbf.wiki/Status_Effects &amp; character pages</t>
        </is>
      </c>
    </row>
    <row r="2">
      <c r="A2" s="3" t="inlineStr">
        <is>
          <t>ACTIVE SKILL CATEGORIES</t>
        </is>
      </c>
    </row>
    <row r="3">
      <c r="A3" s="25" t="inlineStr">
        <is>
          <t>Skill Category</t>
        </is>
      </c>
      <c r="B3" s="25" t="inlineStr">
        <is>
          <t>Primary Effect</t>
        </is>
      </c>
      <c r="C3" s="25" t="inlineStr">
        <is>
          <t>Target Options</t>
        </is>
      </c>
      <c r="D3" s="25" t="inlineStr">
        <is>
          <t>Cooldown Range</t>
        </is>
      </c>
      <c r="E3" s="25" t="inlineStr">
        <is>
          <t>Duration Range</t>
        </is>
      </c>
      <c r="F3" s="25" t="inlineStr">
        <is>
          <t>Icon Color (in-game)</t>
        </is>
      </c>
      <c r="G3" s="25" t="inlineStr">
        <is>
          <t>Instant / Turn Cost</t>
        </is>
      </c>
      <c r="H3" s="25" t="inlineStr">
        <is>
          <t>Key Notes &amp; Examples</t>
        </is>
      </c>
    </row>
    <row r="4" ht="38" customHeight="1">
      <c r="A4" s="31" t="inlineStr">
        <is>
          <t>Damage / Attack</t>
        </is>
      </c>
      <c r="B4" s="6" t="inlineStr">
        <is>
          <t>Deal direct damage to enemy</t>
        </is>
      </c>
      <c r="C4" s="32" t="inlineStr">
        <is>
          <t>One foe / All foes / Random</t>
        </is>
      </c>
      <c r="D4" s="39" t="inlineStr">
        <is>
          <t>5–12t</t>
        </is>
      </c>
      <c r="E4" s="33" t="inlineStr">
        <is>
          <t>Instant</t>
        </is>
      </c>
      <c r="F4" s="38" t="inlineStr">
        <is>
          <t>Red</t>
        </is>
      </c>
      <c r="G4" s="37" t="inlineStr">
        <is>
          <t>Instant — free</t>
        </is>
      </c>
      <c r="H4" s="34" t="inlineStr">
        <is>
          <t>Damage only. No buff/debuff. Examples: Flame Slash 300% Fire DMG, Inferno 200% all-foe</t>
        </is>
      </c>
    </row>
    <row r="5" ht="38" customHeight="1">
      <c r="A5" s="27" t="inlineStr">
        <is>
          <t>Damage + Debuff</t>
        </is>
      </c>
      <c r="B5" s="9" t="inlineStr">
        <is>
          <t>Damage + apply enemy debuff</t>
        </is>
      </c>
      <c r="C5" s="28" t="inlineStr">
        <is>
          <t>One foe / All foes</t>
        </is>
      </c>
      <c r="D5" s="42" t="inlineStr">
        <is>
          <t>6–10t</t>
        </is>
      </c>
      <c r="E5" s="29" t="inlineStr">
        <is>
          <t>Instant</t>
        </is>
      </c>
      <c r="F5" s="41" t="inlineStr">
        <is>
          <t>Red/Purple</t>
        </is>
      </c>
      <c r="G5" s="40" t="inlineStr">
        <is>
          <t>Instant — free</t>
        </is>
      </c>
      <c r="H5" s="30" t="inlineStr">
        <is>
          <t>Common multi-effect skills. Debuff applies even if damage misses. Example: Burning Blade</t>
        </is>
      </c>
    </row>
    <row r="6" ht="38" customHeight="1">
      <c r="A6" s="31" t="inlineStr">
        <is>
          <t>Buff — Self</t>
        </is>
      </c>
      <c r="B6" s="6" t="inlineStr">
        <is>
          <t>Boost own stats/effects</t>
        </is>
      </c>
      <c r="C6" s="32" t="inlineStr">
        <is>
          <t>Self only</t>
        </is>
      </c>
      <c r="D6" s="39" t="inlineStr">
        <is>
          <t>5–8t</t>
        </is>
      </c>
      <c r="E6" s="33" t="inlineStr">
        <is>
          <t>1–5 turns</t>
        </is>
      </c>
      <c r="F6" s="38" t="inlineStr">
        <is>
          <t>Blue</t>
        </is>
      </c>
      <c r="G6" s="37" t="inlineStr">
        <is>
          <t>Instant — free</t>
        </is>
      </c>
      <c r="H6" s="34" t="inlineStr">
        <is>
          <t>ATK Up, DA Up, TA Up, Bonus DMG, Charge Speed, etc. Only affects the caster</t>
        </is>
      </c>
    </row>
    <row r="7" ht="38" customHeight="1">
      <c r="A7" s="27" t="inlineStr">
        <is>
          <t>Buff — Party</t>
        </is>
      </c>
      <c r="B7" s="9" t="inlineStr">
        <is>
          <t>Boost all or multiple allies</t>
        </is>
      </c>
      <c r="C7" s="28" t="inlineStr">
        <is>
          <t>All allies / Front row</t>
        </is>
      </c>
      <c r="D7" s="42" t="inlineStr">
        <is>
          <t>6–12t</t>
        </is>
      </c>
      <c r="E7" s="29" t="inlineStr">
        <is>
          <t>2–5 turns</t>
        </is>
      </c>
      <c r="F7" s="41" t="inlineStr">
        <is>
          <t>Blue</t>
        </is>
      </c>
      <c r="G7" s="40" t="inlineStr">
        <is>
          <t>Instant — free</t>
        </is>
      </c>
      <c r="H7" s="30" t="inlineStr">
        <is>
          <t>Party-wide ATK/DEF/DA/TA up, heal, damage cut, veil. Most valuable support skills</t>
        </is>
      </c>
    </row>
    <row r="8" ht="38" customHeight="1">
      <c r="A8" s="31" t="inlineStr">
        <is>
          <t>Buff — Targeted</t>
        </is>
      </c>
      <c r="B8" s="6" t="inlineStr">
        <is>
          <t>Buff a single chosen ally</t>
        </is>
      </c>
      <c r="C8" s="32" t="inlineStr">
        <is>
          <t>One ally</t>
        </is>
      </c>
      <c r="D8" s="39" t="inlineStr">
        <is>
          <t>5–9t</t>
        </is>
      </c>
      <c r="E8" s="33" t="inlineStr">
        <is>
          <t>2–4 turns</t>
        </is>
      </c>
      <c r="F8" s="38" t="inlineStr">
        <is>
          <t>Blue</t>
        </is>
      </c>
      <c r="G8" s="37" t="inlineStr">
        <is>
          <t>Instant — free</t>
        </is>
      </c>
      <c r="H8" s="34" t="inlineStr">
        <is>
          <t>Assassin ATK, specific role buffs. Player chooses target. Example: Korwa thread buffs</t>
        </is>
      </c>
    </row>
    <row r="9" ht="38" customHeight="1">
      <c r="A9" s="27" t="inlineStr">
        <is>
          <t>Heal</t>
        </is>
      </c>
      <c r="B9" s="9" t="inlineStr">
        <is>
          <t>Restore HP</t>
        </is>
      </c>
      <c r="C9" s="28" t="inlineStr">
        <is>
          <t>One ally / All allies</t>
        </is>
      </c>
      <c r="D9" s="42" t="inlineStr">
        <is>
          <t>6–10t</t>
        </is>
      </c>
      <c r="E9" s="29" t="inlineStr">
        <is>
          <t>Instant</t>
        </is>
      </c>
      <c r="F9" s="41" t="inlineStr">
        <is>
          <t>Green</t>
        </is>
      </c>
      <c r="G9" s="40" t="inlineStr">
        <is>
          <t>Instant — free</t>
        </is>
      </c>
      <c r="H9" s="30" t="inlineStr">
        <is>
          <t>Amount scales with character ATK + weapon grid HP. Heal cap boosted by weapon skill</t>
        </is>
      </c>
    </row>
    <row r="10" ht="38" customHeight="1">
      <c r="A10" s="31" t="inlineStr">
        <is>
          <t>Debuff — Enemy ATK</t>
        </is>
      </c>
      <c r="B10" s="6" t="inlineStr">
        <is>
          <t>Lower enemy ATK</t>
        </is>
      </c>
      <c r="C10" s="32" t="inlineStr">
        <is>
          <t>One foe / All foes</t>
        </is>
      </c>
      <c r="D10" s="39" t="inlineStr">
        <is>
          <t>7–12t</t>
        </is>
      </c>
      <c r="E10" s="33" t="inlineStr">
        <is>
          <t>Indefinite</t>
        </is>
      </c>
      <c r="F10" s="38" t="inlineStr">
        <is>
          <t>Purple</t>
        </is>
      </c>
      <c r="G10" s="37" t="inlineStr">
        <is>
          <t>Instant — free</t>
        </is>
      </c>
      <c r="H10" s="34" t="inlineStr">
        <is>
          <t>ATK Down: Single cap 25%, Dual cap 50% (stacks with single). Miserable Mist = Dual 25%</t>
        </is>
      </c>
    </row>
    <row r="11" ht="38" customHeight="1">
      <c r="A11" s="27" t="inlineStr">
        <is>
          <t>Debuff — Enemy DEF</t>
        </is>
      </c>
      <c r="B11" s="9" t="inlineStr">
        <is>
          <t>Lower enemy DEF</t>
        </is>
      </c>
      <c r="C11" s="28" t="inlineStr">
        <is>
          <t>One foe / All foes</t>
        </is>
      </c>
      <c r="D11" s="42" t="inlineStr">
        <is>
          <t>7–12t</t>
        </is>
      </c>
      <c r="E11" s="29" t="inlineStr">
        <is>
          <t>Indefinite</t>
        </is>
      </c>
      <c r="F11" s="41" t="inlineStr">
        <is>
          <t>Purple</t>
        </is>
      </c>
      <c r="G11" s="40" t="inlineStr">
        <is>
          <t>Instant — free</t>
        </is>
      </c>
      <c r="H11" s="30" t="inlineStr">
        <is>
          <t>DEF Down: Single 20%, Dual 25%. Stack to 45% max. Critical for damage output</t>
        </is>
      </c>
    </row>
    <row r="12" ht="38" customHeight="1">
      <c r="A12" s="31" t="inlineStr">
        <is>
          <t>Debuff — Gravity</t>
        </is>
      </c>
      <c r="B12" s="6" t="inlineStr">
        <is>
          <t>Fill boss charge diamonds</t>
        </is>
      </c>
      <c r="C12" s="32" t="inlineStr">
        <is>
          <t>One foe</t>
        </is>
      </c>
      <c r="D12" s="39" t="inlineStr">
        <is>
          <t>8–12t</t>
        </is>
      </c>
      <c r="E12" s="33" t="inlineStr">
        <is>
          <t>Indefinite</t>
        </is>
      </c>
      <c r="F12" s="38" t="inlineStr">
        <is>
          <t>Purple</t>
        </is>
      </c>
      <c r="G12" s="37" t="inlineStr">
        <is>
          <t>Instant — free</t>
        </is>
      </c>
      <c r="H12" s="34" t="inlineStr">
        <is>
          <t>Forces boss to charge attack sooner. Fills 1 extra diamond (boss usually fills 1/turn)</t>
        </is>
      </c>
    </row>
    <row r="13" ht="38" customHeight="1">
      <c r="A13" s="27" t="inlineStr">
        <is>
          <t>Debuff — Delay</t>
        </is>
      </c>
      <c r="B13" s="9" t="inlineStr">
        <is>
          <t>Remove boss charge diamonds</t>
        </is>
      </c>
      <c r="C13" s="28" t="inlineStr">
        <is>
          <t>One foe</t>
        </is>
      </c>
      <c r="D13" s="42" t="inlineStr">
        <is>
          <t>8–10t</t>
        </is>
      </c>
      <c r="E13" s="29" t="inlineStr">
        <is>
          <t>Instant</t>
        </is>
      </c>
      <c r="F13" s="41" t="inlineStr">
        <is>
          <t>Purple</t>
        </is>
      </c>
      <c r="G13" s="40" t="inlineStr">
        <is>
          <t>Instant — free</t>
        </is>
      </c>
      <c r="H13" s="30" t="inlineStr">
        <is>
          <t>Removes 1 charge diamond from boss. Postpones boss special. Critical for safety</t>
        </is>
      </c>
    </row>
    <row r="14" ht="38" customHeight="1">
      <c r="A14" s="31" t="inlineStr">
        <is>
          <t>Dispel</t>
        </is>
      </c>
      <c r="B14" s="6" t="inlineStr">
        <is>
          <t>Remove enemy buffs</t>
        </is>
      </c>
      <c r="C14" s="32" t="inlineStr">
        <is>
          <t>One foe / All foes</t>
        </is>
      </c>
      <c r="D14" s="39" t="inlineStr">
        <is>
          <t>8–12t</t>
        </is>
      </c>
      <c r="E14" s="33" t="inlineStr">
        <is>
          <t>Instant</t>
        </is>
      </c>
      <c r="F14" s="38" t="inlineStr">
        <is>
          <t>Purple</t>
        </is>
      </c>
      <c r="G14" s="37" t="inlineStr">
        <is>
          <t>Instant — free</t>
        </is>
      </c>
      <c r="H14" s="34" t="inlineStr">
        <is>
          <t>Removes buffs from enemy. Essential vs. Overdrive ATK Up. Some bosses resist dispel</t>
        </is>
      </c>
    </row>
    <row r="15" ht="38" customHeight="1">
      <c r="A15" s="27" t="inlineStr">
        <is>
          <t>Clear / Veil</t>
        </is>
      </c>
      <c r="B15" s="9" t="inlineStr">
        <is>
          <t>Remove debuffs from ally</t>
        </is>
      </c>
      <c r="C15" s="28" t="inlineStr">
        <is>
          <t>One/All allies</t>
        </is>
      </c>
      <c r="D15" s="42" t="inlineStr">
        <is>
          <t>7–12t</t>
        </is>
      </c>
      <c r="E15" s="29" t="inlineStr">
        <is>
          <t>1–3 turns</t>
        </is>
      </c>
      <c r="F15" s="41" t="inlineStr">
        <is>
          <t>Blue</t>
        </is>
      </c>
      <c r="G15" s="40" t="inlineStr">
        <is>
          <t>Instant — free</t>
        </is>
      </c>
      <c r="H15" s="30" t="inlineStr">
        <is>
          <t>Clear = remove all debuffs. Veil = prevent next debuff. Essential in hard content</t>
        </is>
      </c>
    </row>
    <row r="16" ht="38" customHeight="1">
      <c r="A16" s="31" t="inlineStr">
        <is>
          <t>Charge Bar Gain</t>
        </is>
      </c>
      <c r="B16" s="6" t="inlineStr">
        <is>
          <t>Fill charge bar</t>
        </is>
      </c>
      <c r="C16" s="32" t="inlineStr">
        <is>
          <t>One/All allies</t>
        </is>
      </c>
      <c r="D16" s="39" t="inlineStr">
        <is>
          <t>6–10t</t>
        </is>
      </c>
      <c r="E16" s="33" t="inlineStr">
        <is>
          <t>Instant</t>
        </is>
      </c>
      <c r="F16" s="38" t="inlineStr">
        <is>
          <t>Yellow</t>
        </is>
      </c>
      <c r="G16" s="37" t="inlineStr">
        <is>
          <t>Instant — free</t>
        </is>
      </c>
      <c r="H16" s="34" t="inlineStr">
        <is>
          <t>+20–30% charge bar. Some skills grant Instant Charge (100% fill). Important in burst</t>
        </is>
      </c>
    </row>
    <row r="17" ht="38" customHeight="1">
      <c r="A17" s="27" t="inlineStr">
        <is>
          <t>Plain Damage</t>
        </is>
      </c>
      <c r="B17" s="9" t="inlineStr">
        <is>
          <t>Unmodified fixed damage</t>
        </is>
      </c>
      <c r="C17" s="28" t="inlineStr">
        <is>
          <t>One foe</t>
        </is>
      </c>
      <c r="D17" s="42" t="inlineStr">
        <is>
          <t>8–12t</t>
        </is>
      </c>
      <c r="E17" s="29" t="inlineStr">
        <is>
          <t>Instant</t>
        </is>
      </c>
      <c r="F17" s="41" t="inlineStr">
        <is>
          <t>Red</t>
        </is>
      </c>
      <c r="G17" s="40" t="inlineStr">
        <is>
          <t>Instant — free</t>
        </is>
      </c>
      <c r="H17" s="30" t="inlineStr">
        <is>
          <t>Ignores enemy DEF, element, buffs. Fixed value. Used by some support/special characters</t>
        </is>
      </c>
    </row>
    <row r="18" ht="38" customHeight="1">
      <c r="A18" s="31" t="inlineStr">
        <is>
          <t>Revive</t>
        </is>
      </c>
      <c r="B18" s="6" t="inlineStr">
        <is>
          <t>Revive fallen ally</t>
        </is>
      </c>
      <c r="C18" s="32" t="inlineStr">
        <is>
          <t>One ally</t>
        </is>
      </c>
      <c r="D18" s="39" t="inlineStr">
        <is>
          <t>12–20t</t>
        </is>
      </c>
      <c r="E18" s="33" t="inlineStr">
        <is>
          <t>Instant</t>
        </is>
      </c>
      <c r="F18" s="38" t="inlineStr">
        <is>
          <t>Green</t>
        </is>
      </c>
      <c r="G18" s="37" t="inlineStr">
        <is>
          <t>Instant — free</t>
        </is>
      </c>
      <c r="H18" s="34" t="inlineStr">
        <is>
          <t>Restores to 1–30% HP depending on skill. Some require charge bar sacrifice</t>
        </is>
      </c>
    </row>
    <row r="19" ht="38" customHeight="1">
      <c r="A19" s="27" t="inlineStr">
        <is>
          <t>Substitute</t>
        </is>
      </c>
      <c r="B19" s="9" t="inlineStr">
        <is>
          <t>Redirect all attacks to self</t>
        </is>
      </c>
      <c r="C19" s="28" t="inlineStr">
        <is>
          <t>All enemies → self</t>
        </is>
      </c>
      <c r="D19" s="42" t="inlineStr">
        <is>
          <t>8–12t</t>
        </is>
      </c>
      <c r="E19" s="29" t="inlineStr">
        <is>
          <t>1–2 turns</t>
        </is>
      </c>
      <c r="F19" s="41" t="inlineStr">
        <is>
          <t>Blue</t>
        </is>
      </c>
      <c r="G19" s="40" t="inlineStr">
        <is>
          <t>Instant — free</t>
        </is>
      </c>
      <c r="H19" s="30" t="inlineStr">
        <is>
          <t>All attacks hit the substitute character. Combined with DEF Up / Damage Cut</t>
        </is>
      </c>
    </row>
    <row r="21">
      <c r="A21" s="3" t="inlineStr">
        <is>
          <t>KEY RULE: INSTANT SKILLS vs ATTACK BUTTON</t>
        </is>
      </c>
    </row>
    <row r="22" ht="55" customHeight="1">
      <c r="A22" s="43" t="inlineStr">
        <is>
          <t>All character skills (active skills) are INSTANT — they activate the moment you tap them, before pressing the Attack button. Using skills does NOT end the turn. Only pressing the ATTACK button ends the turn, resolving attacks, charge attacks, boss counterattack, and ticking buff/debuff durations. Skills have COOLDOWNS (number of turns) instead of costing turn actions. You can use all available skills in one turn at no penalty beyond their individual cooldowns.</t>
        </is>
      </c>
    </row>
  </sheetData>
  <mergeCells count="4">
    <mergeCell ref="A21:H21"/>
    <mergeCell ref="A2:H2"/>
    <mergeCell ref="A22:H2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26" customWidth="1" min="1" max="1"/>
    <col width="12" customWidth="1" min="2" max="2"/>
    <col width="18" customWidth="1" min="3" max="3"/>
    <col width="16" customWidth="1" min="4" max="4"/>
    <col width="16" customWidth="1" min="5" max="5"/>
    <col width="18" customWidth="1" min="6" max="6"/>
    <col width="50" customWidth="1" min="7" max="7"/>
  </cols>
  <sheetData>
    <row r="1" ht="30" customHeight="1">
      <c r="A1" s="24" t="inlineStr">
        <is>
          <t>STATUS EFFECTS GLOSSARY — Source: gbf.wiki/Status_Effects</t>
        </is>
      </c>
    </row>
    <row r="2">
      <c r="A2" s="3" t="inlineStr">
        <is>
          <t>BUFF AND DEBUFF STATUS EFFECTS</t>
        </is>
      </c>
    </row>
    <row r="3">
      <c r="A3" s="25" t="inlineStr">
        <is>
          <t>Status Name</t>
        </is>
      </c>
      <c r="B3" s="25" t="inlineStr">
        <is>
          <t>Type</t>
        </is>
      </c>
      <c r="C3" s="25" t="inlineStr">
        <is>
          <t>Effect Category</t>
        </is>
      </c>
      <c r="D3" s="25" t="inlineStr">
        <is>
          <t>Typical Strength</t>
        </is>
      </c>
      <c r="E3" s="25" t="inlineStr">
        <is>
          <t>Duration</t>
        </is>
      </c>
      <c r="F3" s="25" t="inlineStr">
        <is>
          <t>Stacking Rule</t>
        </is>
      </c>
      <c r="G3" s="25" t="inlineStr">
        <is>
          <t>Notes</t>
        </is>
      </c>
    </row>
    <row r="4" ht="32" customHeight="1">
      <c r="A4" s="31" t="inlineStr">
        <is>
          <t>ATK Up</t>
        </is>
      </c>
      <c r="B4" s="33" t="inlineStr">
        <is>
          <t>BUFF</t>
        </is>
      </c>
      <c r="C4" s="32" t="inlineStr">
        <is>
          <t>Damage boost</t>
        </is>
      </c>
      <c r="D4" s="39" t="inlineStr">
        <is>
          <t>10–50%</t>
        </is>
      </c>
      <c r="E4" s="37" t="inlineStr">
        <is>
          <t>2–5 turns</t>
        </is>
      </c>
      <c r="F4" s="38" t="inlineStr">
        <is>
          <t>Single / Dual</t>
        </is>
      </c>
      <c r="G4" s="34" t="inlineStr">
        <is>
          <t>Most common buff. Single-stack with itself. Dual sources (like EMP) stack with single</t>
        </is>
      </c>
    </row>
    <row r="5" ht="32" customHeight="1">
      <c r="A5" s="27" t="inlineStr">
        <is>
          <t>DEF Up</t>
        </is>
      </c>
      <c r="B5" s="29" t="inlineStr">
        <is>
          <t>BUFF</t>
        </is>
      </c>
      <c r="C5" s="28" t="inlineStr">
        <is>
          <t>Damage reduction</t>
        </is>
      </c>
      <c r="D5" s="42" t="inlineStr">
        <is>
          <t>20–100%</t>
        </is>
      </c>
      <c r="E5" s="40" t="inlineStr">
        <is>
          <t>2–3 turns</t>
        </is>
      </c>
      <c r="F5" s="41" t="inlineStr">
        <is>
          <t>Single</t>
        </is>
      </c>
      <c r="G5" s="30" t="inlineStr">
        <is>
          <t>Reduces incoming damage. Stacks additively to a cap. Essential for tank characters</t>
        </is>
      </c>
    </row>
    <row r="6" ht="32" customHeight="1">
      <c r="A6" s="31" t="inlineStr">
        <is>
          <t>Double Attack Up (DA Up)</t>
        </is>
      </c>
      <c r="B6" s="33" t="inlineStr">
        <is>
          <t>BUFF</t>
        </is>
      </c>
      <c r="C6" s="32" t="inlineStr">
        <is>
          <t>Multiattack</t>
        </is>
      </c>
      <c r="D6" s="39" t="inlineStr">
        <is>
          <t>+20–100%</t>
        </is>
      </c>
      <c r="E6" s="37" t="inlineStr">
        <is>
          <t>2–4 turns</t>
        </is>
      </c>
      <c r="F6" s="38" t="inlineStr">
        <is>
          <t>Single / Self / Unique</t>
        </is>
      </c>
      <c r="G6" s="34" t="inlineStr">
        <is>
          <t>Increases chance to attack twice. Has multiple sub-types that stack with each other</t>
        </is>
      </c>
    </row>
    <row r="7" ht="32" customHeight="1">
      <c r="A7" s="27" t="inlineStr">
        <is>
          <t>Triple Attack Up (TA Up)</t>
        </is>
      </c>
      <c r="B7" s="29" t="inlineStr">
        <is>
          <t>BUFF</t>
        </is>
      </c>
      <c r="C7" s="28" t="inlineStr">
        <is>
          <t>Multiattack</t>
        </is>
      </c>
      <c r="D7" s="42" t="inlineStr">
        <is>
          <t>+10–100%</t>
        </is>
      </c>
      <c r="E7" s="40" t="inlineStr">
        <is>
          <t>2–4 turns</t>
        </is>
      </c>
      <c r="F7" s="41" t="inlineStr">
        <is>
          <t>Single / Self / Unique</t>
        </is>
      </c>
      <c r="G7" s="30" t="inlineStr">
        <is>
          <t>Increases chance to attack three times per turn. Guaranteed TA = 100% TA rate</t>
        </is>
      </c>
    </row>
    <row r="8" ht="32" customHeight="1">
      <c r="A8" s="31" t="inlineStr">
        <is>
          <t>Damage Cut</t>
        </is>
      </c>
      <c r="B8" s="33" t="inlineStr">
        <is>
          <t>BUFF</t>
        </is>
      </c>
      <c r="C8" s="32" t="inlineStr">
        <is>
          <t>Mitigation</t>
        </is>
      </c>
      <c r="D8" s="39" t="inlineStr">
        <is>
          <t>20–50%</t>
        </is>
      </c>
      <c r="E8" s="37" t="inlineStr">
        <is>
          <t>1–3 turns</t>
        </is>
      </c>
      <c r="F8" s="38" t="inlineStr">
        <is>
          <t>Additive</t>
        </is>
      </c>
      <c r="G8" s="34" t="inlineStr">
        <is>
          <t>Reduces ALL incoming damage. Multiple stacks add up. Common defensive tool</t>
        </is>
      </c>
    </row>
    <row r="9" ht="32" customHeight="1">
      <c r="A9" s="27" t="inlineStr">
        <is>
          <t>Bonus DMG</t>
        </is>
      </c>
      <c r="B9" s="29" t="inlineStr">
        <is>
          <t>BUFF</t>
        </is>
      </c>
      <c r="C9" s="28" t="inlineStr">
        <is>
          <t>Extra damage</t>
        </is>
      </c>
      <c r="D9" s="42" t="inlineStr">
        <is>
          <t>10–50%</t>
        </is>
      </c>
      <c r="E9" s="40" t="inlineStr">
        <is>
          <t>1–3 turns</t>
        </is>
      </c>
      <c r="F9" s="41" t="inlineStr">
        <is>
          <t>Complex (A/B/C/D/E sides)</t>
        </is>
      </c>
      <c r="G9" s="30" t="inlineStr">
        <is>
          <t>Additional damage instance on normal attacks. Multiple sides (A/B/C/D) can co-exist</t>
        </is>
      </c>
    </row>
    <row r="10" ht="32" customHeight="1">
      <c r="A10" s="31" t="inlineStr">
        <is>
          <t>Charge Bar Up / Uplifted</t>
        </is>
      </c>
      <c r="B10" s="33" t="inlineStr">
        <is>
          <t>BUFF</t>
        </is>
      </c>
      <c r="C10" s="32" t="inlineStr">
        <is>
          <t>Charge gain</t>
        </is>
      </c>
      <c r="D10" s="39" t="inlineStr">
        <is>
          <t>+5–20%/t</t>
        </is>
      </c>
      <c r="E10" s="37" t="inlineStr">
        <is>
          <t>2–4 turns</t>
        </is>
      </c>
      <c r="F10" s="38" t="inlineStr">
        <is>
          <t>—</t>
        </is>
      </c>
      <c r="G10" s="34" t="inlineStr">
        <is>
          <t>Increases charge bar fill rate each turn. Important for ougi-heavy teams</t>
        </is>
      </c>
    </row>
    <row r="11" ht="32" customHeight="1">
      <c r="A11" s="27" t="inlineStr">
        <is>
          <t>Stamina</t>
        </is>
      </c>
      <c r="B11" s="29" t="inlineStr">
        <is>
          <t>BUFF</t>
        </is>
      </c>
      <c r="C11" s="28" t="inlineStr">
        <is>
          <t>ATK modifier</t>
        </is>
      </c>
      <c r="D11" s="42" t="inlineStr">
        <is>
          <t>Scales with HP</t>
        </is>
      </c>
      <c r="E11" s="40" t="inlineStr">
        <is>
          <t>—</t>
        </is>
      </c>
      <c r="F11" s="41" t="inlineStr">
        <is>
          <t>Passive</t>
        </is>
      </c>
      <c r="G11" s="30" t="inlineStr">
        <is>
          <t>ATK scales UP as HP stays high. Peaks at 100% HP. From weapon skills and some chars</t>
        </is>
      </c>
    </row>
    <row r="12" ht="32" customHeight="1">
      <c r="A12" s="31" t="inlineStr">
        <is>
          <t>Enmity / Jammed</t>
        </is>
      </c>
      <c r="B12" s="33" t="inlineStr">
        <is>
          <t>BUFF</t>
        </is>
      </c>
      <c r="C12" s="32" t="inlineStr">
        <is>
          <t>ATK modifier</t>
        </is>
      </c>
      <c r="D12" s="39" t="inlineStr">
        <is>
          <t>Scales with HP</t>
        </is>
      </c>
      <c r="E12" s="37" t="inlineStr">
        <is>
          <t>—</t>
        </is>
      </c>
      <c r="F12" s="38" t="inlineStr">
        <is>
          <t>Passive/Active</t>
        </is>
      </c>
      <c r="G12" s="34" t="inlineStr">
        <is>
          <t>ATK scales UP as HP drops low. Activates at 75% HP, steep below 50%. Jammed = fixed version</t>
        </is>
      </c>
    </row>
    <row r="13" ht="32" customHeight="1">
      <c r="A13" s="27" t="inlineStr">
        <is>
          <t>Veil</t>
        </is>
      </c>
      <c r="B13" s="29" t="inlineStr">
        <is>
          <t>BUFF</t>
        </is>
      </c>
      <c r="C13" s="28" t="inlineStr">
        <is>
          <t>Debuff immunity</t>
        </is>
      </c>
      <c r="D13" s="42" t="inlineStr">
        <is>
          <t>1 stack</t>
        </is>
      </c>
      <c r="E13" s="40" t="inlineStr">
        <is>
          <t>Indefinite</t>
        </is>
      </c>
      <c r="F13" s="41" t="inlineStr">
        <is>
          <t>Stack</t>
        </is>
      </c>
      <c r="G13" s="30" t="inlineStr">
        <is>
          <t>Prevents next debuff from landing. Expended on contact. High priority in hard raids</t>
        </is>
      </c>
    </row>
    <row r="14" ht="32" customHeight="1">
      <c r="A14" s="31" t="inlineStr">
        <is>
          <t>Mirror Image</t>
        </is>
      </c>
      <c r="B14" s="33" t="inlineStr">
        <is>
          <t>BUFF</t>
        </is>
      </c>
      <c r="C14" s="32" t="inlineStr">
        <is>
          <t>Attack nullify</t>
        </is>
      </c>
      <c r="D14" s="39" t="inlineStr">
        <is>
          <t>1 stack</t>
        </is>
      </c>
      <c r="E14" s="37" t="inlineStr">
        <is>
          <t>Indefinite</t>
        </is>
      </c>
      <c r="F14" s="38" t="inlineStr">
        <is>
          <t>Stack</t>
        </is>
      </c>
      <c r="G14" s="34" t="inlineStr">
        <is>
          <t>Nullifies next one-to-one attack. Does not block all-foe attacks</t>
        </is>
      </c>
    </row>
    <row r="15" ht="32" customHeight="1">
      <c r="A15" s="27" t="inlineStr">
        <is>
          <t>Revitalize</t>
        </is>
      </c>
      <c r="B15" s="29" t="inlineStr">
        <is>
          <t>BUFF</t>
        </is>
      </c>
      <c r="C15" s="28" t="inlineStr">
        <is>
          <t>HP regen + ATK</t>
        </is>
      </c>
      <c r="D15" s="42" t="inlineStr">
        <is>
          <t>HP% each turn</t>
        </is>
      </c>
      <c r="E15" s="40" t="inlineStr">
        <is>
          <t>3–5 turns</t>
        </is>
      </c>
      <c r="F15" s="41" t="inlineStr">
        <is>
          <t>—</t>
        </is>
      </c>
      <c r="G15" s="30" t="inlineStr">
        <is>
          <t>Restores HP each turn AND boosts ATK. One of the stronger sustained buff combos</t>
        </is>
      </c>
    </row>
    <row r="16" ht="32" customHeight="1">
      <c r="A16" s="31" t="inlineStr">
        <is>
          <t>Dispel Cancel</t>
        </is>
      </c>
      <c r="B16" s="33" t="inlineStr">
        <is>
          <t>BUFF</t>
        </is>
      </c>
      <c r="C16" s="32" t="inlineStr">
        <is>
          <t>Dispel protection</t>
        </is>
      </c>
      <c r="D16" s="39" t="inlineStr">
        <is>
          <t>1 stack</t>
        </is>
      </c>
      <c r="E16" s="37" t="inlineStr">
        <is>
          <t>—</t>
        </is>
      </c>
      <c r="F16" s="38" t="inlineStr">
        <is>
          <t>—</t>
        </is>
      </c>
      <c r="G16" s="34" t="inlineStr">
        <is>
          <t>Prevents one dispel from removing a buff. High-end content staple</t>
        </is>
      </c>
    </row>
    <row r="17" ht="32" customHeight="1">
      <c r="A17" s="27" t="inlineStr">
        <is>
          <t>ATK Down</t>
        </is>
      </c>
      <c r="B17" s="44" t="inlineStr">
        <is>
          <t>DEBUFF</t>
        </is>
      </c>
      <c r="C17" s="28" t="inlineStr">
        <is>
          <t>Enemy ATK reduction</t>
        </is>
      </c>
      <c r="D17" s="42" t="inlineStr">
        <is>
          <t>25–50%</t>
        </is>
      </c>
      <c r="E17" s="40" t="inlineStr">
        <is>
          <t>Indefinite</t>
        </is>
      </c>
      <c r="F17" s="41" t="inlineStr">
        <is>
          <t>Single + Dual</t>
        </is>
      </c>
      <c r="G17" s="30" t="inlineStr">
        <is>
          <t>Single cap 25%, Dual cap 50%. Dark Fencer Mist (Dual 25%) + Sidewinder (Single 25%) = 50%</t>
        </is>
      </c>
    </row>
    <row r="18" ht="32" customHeight="1">
      <c r="A18" s="31" t="inlineStr">
        <is>
          <t>DEF Down</t>
        </is>
      </c>
      <c r="B18" s="45" t="inlineStr">
        <is>
          <t>DEBUFF</t>
        </is>
      </c>
      <c r="C18" s="32" t="inlineStr">
        <is>
          <t>Enemy DEF reduction</t>
        </is>
      </c>
      <c r="D18" s="39" t="inlineStr">
        <is>
          <t>20–45%</t>
        </is>
      </c>
      <c r="E18" s="37" t="inlineStr">
        <is>
          <t>Indefinite</t>
        </is>
      </c>
      <c r="F18" s="38" t="inlineStr">
        <is>
          <t>Single + Dual</t>
        </is>
      </c>
      <c r="G18" s="34" t="inlineStr">
        <is>
          <t>Single cap 20%, Dual cap 25%. Stack to 45% total. Huge multiplicative damage gain</t>
        </is>
      </c>
    </row>
    <row r="19" ht="32" customHeight="1">
      <c r="A19" s="27" t="inlineStr">
        <is>
          <t>Gravity</t>
        </is>
      </c>
      <c r="B19" s="44" t="inlineStr">
        <is>
          <t>DEBUFF</t>
        </is>
      </c>
      <c r="C19" s="28" t="inlineStr">
        <is>
          <t>Boss charge fill</t>
        </is>
      </c>
      <c r="D19" s="42" t="inlineStr">
        <is>
          <t>1 diamond</t>
        </is>
      </c>
      <c r="E19" s="40" t="inlineStr">
        <is>
          <t>Indefinite</t>
        </is>
      </c>
      <c r="F19" s="41" t="inlineStr">
        <is>
          <t>—</t>
        </is>
      </c>
      <c r="G19" s="30" t="inlineStr">
        <is>
          <t>Fills an extra boss charge diamond each turn. Increases special attack frequency</t>
        </is>
      </c>
    </row>
    <row r="20" ht="32" customHeight="1">
      <c r="A20" s="31" t="inlineStr">
        <is>
          <t>Delay</t>
        </is>
      </c>
      <c r="B20" s="45" t="inlineStr">
        <is>
          <t>DEBUFF</t>
        </is>
      </c>
      <c r="C20" s="32" t="inlineStr">
        <is>
          <t>Remove charge diamond</t>
        </is>
      </c>
      <c r="D20" s="39" t="inlineStr">
        <is>
          <t>1 diamond</t>
        </is>
      </c>
      <c r="E20" s="37" t="inlineStr">
        <is>
          <t>Instant</t>
        </is>
      </c>
      <c r="F20" s="38" t="inlineStr">
        <is>
          <t>—</t>
        </is>
      </c>
      <c r="G20" s="34" t="inlineStr">
        <is>
          <t>Removes boss charge diamond. Pushes special attack further away. Single use per cast</t>
        </is>
      </c>
    </row>
    <row r="21" ht="32" customHeight="1">
      <c r="A21" s="27" t="inlineStr">
        <is>
          <t>Poison</t>
        </is>
      </c>
      <c r="B21" s="44" t="inlineStr">
        <is>
          <t>DEBUFF</t>
        </is>
      </c>
      <c r="C21" s="28" t="inlineStr">
        <is>
          <t>DoT (flat damage)</t>
        </is>
      </c>
      <c r="D21" s="42" t="inlineStr">
        <is>
          <t>Varies</t>
        </is>
      </c>
      <c r="E21" s="40" t="inlineStr">
        <is>
          <t>Indefinite</t>
        </is>
      </c>
      <c r="F21" s="41" t="inlineStr">
        <is>
          <t>Stack</t>
        </is>
      </c>
      <c r="G21" s="30" t="inlineStr">
        <is>
          <t>Turn-based flat damage. Multiple stacks are additive. Older mechanic, less meta now</t>
        </is>
      </c>
    </row>
    <row r="22" ht="32" customHeight="1">
      <c r="A22" s="31" t="inlineStr">
        <is>
          <t>Burn</t>
        </is>
      </c>
      <c r="B22" s="45" t="inlineStr">
        <is>
          <t>DEBUFF</t>
        </is>
      </c>
      <c r="C22" s="32" t="inlineStr">
        <is>
          <t>DoT (% HP damage)</t>
        </is>
      </c>
      <c r="D22" s="39" t="inlineStr">
        <is>
          <t>% of max HP</t>
        </is>
      </c>
      <c r="E22" s="37" t="inlineStr">
        <is>
          <t>Indefinite</t>
        </is>
      </c>
      <c r="F22" s="38" t="inlineStr">
        <is>
          <t>Stack</t>
        </is>
      </c>
      <c r="G22" s="34" t="inlineStr">
        <is>
          <t>Turn-based damage based on max HP%. Useful on HP-heavy enemies</t>
        </is>
      </c>
    </row>
    <row r="23" ht="32" customHeight="1">
      <c r="A23" s="27" t="inlineStr">
        <is>
          <t>Blind</t>
        </is>
      </c>
      <c r="B23" s="44" t="inlineStr">
        <is>
          <t>DEBUFF</t>
        </is>
      </c>
      <c r="C23" s="28" t="inlineStr">
        <is>
          <t>Enemy accuracy down</t>
        </is>
      </c>
      <c r="D23" s="42" t="inlineStr">
        <is>
          <t>—</t>
        </is>
      </c>
      <c r="E23" s="40" t="inlineStr">
        <is>
          <t>Indefinite</t>
        </is>
      </c>
      <c r="F23" s="41" t="inlineStr">
        <is>
          <t>—</t>
        </is>
      </c>
      <c r="G23" s="30" t="inlineStr">
        <is>
          <t>Reduces enemy hit accuracy. Reduces number of hits landing on party</t>
        </is>
      </c>
    </row>
    <row r="24" ht="32" customHeight="1">
      <c r="A24" s="31" t="inlineStr">
        <is>
          <t>Sleep</t>
        </is>
      </c>
      <c r="B24" s="45" t="inlineStr">
        <is>
          <t>DEBUFF</t>
        </is>
      </c>
      <c r="C24" s="32" t="inlineStr">
        <is>
          <t>Can't attack</t>
        </is>
      </c>
      <c r="D24" s="39" t="inlineStr">
        <is>
          <t>—</t>
        </is>
      </c>
      <c r="E24" s="37" t="inlineStr">
        <is>
          <t>Until hit</t>
        </is>
      </c>
      <c r="F24" s="38" t="inlineStr">
        <is>
          <t>—</t>
        </is>
      </c>
      <c r="G24" s="34" t="inlineStr">
        <is>
          <t>Enemy can't attack but takes extra damage (+25%) when hit. Breaks on any damage</t>
        </is>
      </c>
    </row>
    <row r="25" ht="32" customHeight="1">
      <c r="A25" s="27" t="inlineStr">
        <is>
          <t>Paralysis</t>
        </is>
      </c>
      <c r="B25" s="44" t="inlineStr">
        <is>
          <t>DEBUFF</t>
        </is>
      </c>
      <c r="C25" s="28" t="inlineStr">
        <is>
          <t>Skip turn chance</t>
        </is>
      </c>
      <c r="D25" s="42" t="inlineStr">
        <is>
          <t>—</t>
        </is>
      </c>
      <c r="E25" s="40" t="inlineStr">
        <is>
          <t>Indefinite</t>
        </is>
      </c>
      <c r="F25" s="41" t="inlineStr">
        <is>
          <t>—</t>
        </is>
      </c>
      <c r="G25" s="30" t="inlineStr">
        <is>
          <t>Chance enemy skips its action each turn. Probabilistic; less reliable than sleep</t>
        </is>
      </c>
    </row>
    <row r="26" ht="32" customHeight="1">
      <c r="A26" s="31" t="inlineStr">
        <is>
          <t>Stun</t>
        </is>
      </c>
      <c r="B26" s="45" t="inlineStr">
        <is>
          <t>DEBUFF</t>
        </is>
      </c>
      <c r="C26" s="32" t="inlineStr">
        <is>
          <t>Enemy stunned</t>
        </is>
      </c>
      <c r="D26" s="39" t="inlineStr">
        <is>
          <t>—</t>
        </is>
      </c>
      <c r="E26" s="37" t="inlineStr">
        <is>
          <t>1 turn</t>
        </is>
      </c>
      <c r="F26" s="38" t="inlineStr">
        <is>
          <t>—</t>
        </is>
      </c>
      <c r="G26" s="34" t="inlineStr">
        <is>
          <t>Enemy takes no action this turn. Rare and highly powerful, usually from CA effects</t>
        </is>
      </c>
    </row>
    <row r="27" ht="32" customHeight="1">
      <c r="A27" s="27" t="inlineStr">
        <is>
          <t>Petrify</t>
        </is>
      </c>
      <c r="B27" s="44" t="inlineStr">
        <is>
          <t>DEBUFF</t>
        </is>
      </c>
      <c r="C27" s="28" t="inlineStr">
        <is>
          <t>Petrified</t>
        </is>
      </c>
      <c r="D27" s="42" t="inlineStr">
        <is>
          <t>—</t>
        </is>
      </c>
      <c r="E27" s="40" t="inlineStr">
        <is>
          <t>Several turns</t>
        </is>
      </c>
      <c r="F27" s="41" t="inlineStr">
        <is>
          <t>—</t>
        </is>
      </c>
      <c r="G27" s="30" t="inlineStr">
        <is>
          <t>Multiple turns of paralysis-like effect. Boss-specific mechanic in some raids</t>
        </is>
      </c>
    </row>
    <row r="28" ht="32" customHeight="1">
      <c r="A28" s="31" t="inlineStr">
        <is>
          <t>Charm</t>
        </is>
      </c>
      <c r="B28" s="45" t="inlineStr">
        <is>
          <t>DEBUFF</t>
        </is>
      </c>
      <c r="C28" s="32" t="inlineStr">
        <is>
          <t>Attacks own allies</t>
        </is>
      </c>
      <c r="D28" s="39" t="inlineStr">
        <is>
          <t>—</t>
        </is>
      </c>
      <c r="E28" s="37" t="inlineStr">
        <is>
          <t>1–3 turns</t>
        </is>
      </c>
      <c r="F28" s="38" t="inlineStr">
        <is>
          <t>—</t>
        </is>
      </c>
      <c r="G28" s="34" t="inlineStr">
        <is>
          <t>Charmed character attacks party instead of enemy. Can be cured with Clear</t>
        </is>
      </c>
    </row>
    <row r="29" ht="32" customHeight="1">
      <c r="A29" s="27" t="inlineStr">
        <is>
          <t>Debuff Resistance Down</t>
        </is>
      </c>
      <c r="B29" s="44" t="inlineStr">
        <is>
          <t>DEBUFF</t>
        </is>
      </c>
      <c r="C29" s="28" t="inlineStr">
        <is>
          <t>Easier debuffing</t>
        </is>
      </c>
      <c r="D29" s="42" t="inlineStr">
        <is>
          <t>—</t>
        </is>
      </c>
      <c r="E29" s="40" t="inlineStr">
        <is>
          <t>Indefinite</t>
        </is>
      </c>
      <c r="F29" s="41" t="inlineStr">
        <is>
          <t>—</t>
        </is>
      </c>
      <c r="G29" s="30" t="inlineStr">
        <is>
          <t>Makes subsequent debuffs easier to land. Some bosses have innate high resistance</t>
        </is>
      </c>
    </row>
    <row r="30" ht="32" customHeight="1">
      <c r="A30" s="31" t="inlineStr">
        <is>
          <t>Overdrive</t>
        </is>
      </c>
      <c r="B30" s="39" t="inlineStr">
        <is>
          <t>FIELD</t>
        </is>
      </c>
      <c r="C30" s="32" t="inlineStr">
        <is>
          <t>Boss mode bar</t>
        </is>
      </c>
      <c r="D30" s="39" t="inlineStr">
        <is>
          <t>Stage 2 of 3</t>
        </is>
      </c>
      <c r="E30" s="37" t="inlineStr">
        <is>
          <t>—</t>
        </is>
      </c>
      <c r="F30" s="38" t="inlineStr">
        <is>
          <t>Boss mechanic</t>
        </is>
      </c>
      <c r="G30" s="34" t="inlineStr">
        <is>
          <t>Boss enters Overdrive when mode bar fills. Enhanced charge attack, keeps diamonds filled</t>
        </is>
      </c>
    </row>
    <row r="31" ht="32" customHeight="1">
      <c r="A31" s="27" t="inlineStr">
        <is>
          <t>Break</t>
        </is>
      </c>
      <c r="B31" s="42" t="inlineStr">
        <is>
          <t>FIELD</t>
        </is>
      </c>
      <c r="C31" s="28" t="inlineStr">
        <is>
          <t>Boss break mode</t>
        </is>
      </c>
      <c r="D31" s="42" t="inlineStr">
        <is>
          <t>Stage 3 of 3</t>
        </is>
      </c>
      <c r="E31" s="40" t="inlineStr">
        <is>
          <t>—</t>
        </is>
      </c>
      <c r="F31" s="41" t="inlineStr">
        <is>
          <t>Boss mechanic</t>
        </is>
      </c>
      <c r="G31" s="30" t="inlineStr">
        <is>
          <t>Reached by emptying Overdrive bar. Boss can't charge attack. Party gets multiattack bonus</t>
        </is>
      </c>
    </row>
    <row r="32" ht="32" customHeight="1">
      <c r="A32" s="31" t="inlineStr">
        <is>
          <t>Uplift</t>
        </is>
      </c>
      <c r="B32" s="33" t="inlineStr">
        <is>
          <t>BUFF</t>
        </is>
      </c>
      <c r="C32" s="32" t="inlineStr">
        <is>
          <t>Charge gain boost</t>
        </is>
      </c>
      <c r="D32" s="39" t="inlineStr">
        <is>
          <t>—</t>
        </is>
      </c>
      <c r="E32" s="37" t="inlineStr">
        <is>
          <t>2–5 turns</t>
        </is>
      </c>
      <c r="F32" s="38" t="inlineStr">
        <is>
          <t>—</t>
        </is>
      </c>
      <c r="G32" s="34" t="inlineStr">
        <is>
          <t>Passive charge bar increase each turn turn. Common on support characters</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showGridLines="0" workbookViewId="0">
      <pane ySplit="3" topLeftCell="A4" activePane="bottomLeft" state="frozen"/>
      <selection pane="bottomLeft" activeCell="A1" sqref="A1"/>
    </sheetView>
  </sheetViews>
  <sheetFormatPr baseColWidth="8" defaultRowHeight="15"/>
  <cols>
    <col width="22" customWidth="1" min="1" max="1"/>
    <col width="16" customWidth="1" min="2" max="2"/>
    <col width="18" customWidth="1" min="3" max="3"/>
    <col width="22" customWidth="1" min="4" max="4"/>
    <col width="20" customWidth="1" min="5" max="5"/>
    <col width="16" customWidth="1" min="6" max="6"/>
    <col width="18" customWidth="1" min="7" max="7"/>
    <col width="48" customWidth="1" min="8" max="8"/>
  </cols>
  <sheetData>
    <row r="1" ht="30" customHeight="1">
      <c r="A1" s="24" t="inlineStr">
        <is>
          <t>WEAPON SKILLS REFERENCE — Source: gbf.wiki/Weapon_Skills</t>
        </is>
      </c>
    </row>
    <row r="2">
      <c r="A2" s="3" t="inlineStr">
        <is>
          <t>WEAPON SKILL TYPES AND MULTIPLIER CATEGORIES</t>
        </is>
      </c>
    </row>
    <row r="3">
      <c r="A3" s="25" t="inlineStr">
        <is>
          <t>Skill Name / Type</t>
        </is>
      </c>
      <c r="B3" s="25" t="inlineStr">
        <is>
          <t>Multiplier Category</t>
        </is>
      </c>
      <c r="C3" s="25" t="inlineStr">
        <is>
          <t>In-Game Name Examples</t>
        </is>
      </c>
      <c r="D3" s="25" t="inlineStr">
        <is>
          <t>Base Effect (Lv1)</t>
        </is>
      </c>
      <c r="E3" s="25" t="inlineStr">
        <is>
          <t>Max Effect (Lv10/20)</t>
        </is>
      </c>
      <c r="F3" s="25" t="inlineStr">
        <is>
          <t>Skill Level Scaling</t>
        </is>
      </c>
      <c r="G3" s="25" t="inlineStr">
        <is>
          <t>Relevant Characters</t>
        </is>
      </c>
      <c r="H3" s="25" t="inlineStr">
        <is>
          <t>Notes</t>
        </is>
      </c>
    </row>
    <row r="4" ht="42" customHeight="1">
      <c r="A4" s="31" t="inlineStr">
        <is>
          <t>ATK Boost (Normal)</t>
        </is>
      </c>
      <c r="B4" s="37" t="inlineStr">
        <is>
          <t>Normal</t>
        </is>
      </c>
      <c r="C4" s="32" t="inlineStr">
        <is>
          <t>Might / Majesty / Supremacy / Normal II</t>
        </is>
      </c>
      <c r="D4" s="33" t="inlineStr">
        <is>
          <t>ATK +2% (Small) / +5% (Big)</t>
        </is>
      </c>
      <c r="E4" s="33" t="inlineStr">
        <is>
          <t>+12% (Big, Lv10) / higher w/ 5★</t>
        </is>
      </c>
      <c r="F4" s="39" t="inlineStr">
        <is>
          <t>+1% per level 1–10; +0.4–0.6% per 11–20</t>
        </is>
      </c>
      <c r="G4" s="37" t="inlineStr">
        <is>
          <t>All elements</t>
        </is>
      </c>
      <c r="H4" s="34" t="inlineStr">
        <is>
          <t>Most common weapon skill. Multiplicatively boosted by Optimus summon auras</t>
        </is>
      </c>
    </row>
    <row r="5" ht="42" customHeight="1">
      <c r="A5" s="27" t="inlineStr">
        <is>
          <t>ATK Boost (Omega/Magna)</t>
        </is>
      </c>
      <c r="B5" s="41" t="inlineStr">
        <is>
          <t>Omega</t>
        </is>
      </c>
      <c r="C5" s="28" t="inlineStr">
        <is>
          <t>Mistfall / Glorybind / Ascension</t>
        </is>
      </c>
      <c r="D5" s="29" t="inlineStr">
        <is>
          <t>ATK +5% (Medium) / +8% (Big)</t>
        </is>
      </c>
      <c r="E5" s="29" t="inlineStr">
        <is>
          <t>+18% (Big, Lv10)</t>
        </is>
      </c>
      <c r="F5" s="42" t="inlineStr">
        <is>
          <t>+1% per level 1–10</t>
        </is>
      </c>
      <c r="G5" s="40" t="inlineStr">
        <is>
          <t>On-element weapons from Omega raids</t>
        </is>
      </c>
      <c r="H5" s="30" t="inlineStr">
        <is>
          <t>Doubled by Omega (Magna) summon aura. Core of Magna grid strategy</t>
        </is>
      </c>
    </row>
    <row r="6" ht="42" customHeight="1">
      <c r="A6" s="31" t="inlineStr">
        <is>
          <t>ATK Boost (EX)</t>
        </is>
      </c>
      <c r="B6" s="39" t="inlineStr">
        <is>
          <t>EX</t>
        </is>
      </c>
      <c r="C6" s="32" t="inlineStr">
        <is>
          <t>Voltage / Wrath / Grand Epic</t>
        </is>
      </c>
      <c r="D6" s="33" t="inlineStr">
        <is>
          <t>ATK +4% (Medium) / +6% (Big)</t>
        </is>
      </c>
      <c r="E6" s="33" t="inlineStr">
        <is>
          <t>~+14% (Lv10, some to Lv15–20)</t>
        </is>
      </c>
      <c r="F6" s="39" t="inlineStr">
        <is>
          <t>+1% per level 1–10</t>
        </is>
      </c>
      <c r="G6" s="37" t="inlineStr">
        <is>
          <t>Event weapons, Astral, Ultima</t>
        </is>
      </c>
      <c r="H6" s="34" t="inlineStr">
        <is>
          <t>No summon multiplier but adds independent EX category multiplier</t>
        </is>
      </c>
    </row>
    <row r="7" ht="42" customHeight="1">
      <c r="A7" s="27" t="inlineStr">
        <is>
          <t>HP Boost</t>
        </is>
      </c>
      <c r="B7" s="28" t="inlineStr">
        <is>
          <t>Normal/Omega/EX</t>
        </is>
      </c>
      <c r="C7" s="28" t="inlineStr">
        <is>
          <t>Aegis / Fortress / HP mods</t>
        </is>
      </c>
      <c r="D7" s="29" t="inlineStr">
        <is>
          <t>HP +3% (Normal Big) / +1% (Omega Big)</t>
        </is>
      </c>
      <c r="E7" s="29" t="inlineStr">
        <is>
          <t>HP +9% (Normal Big, Lv10)</t>
        </is>
      </c>
      <c r="F7" s="42" t="inlineStr">
        <is>
          <t>+0.5–1% per level</t>
        </is>
      </c>
      <c r="G7" s="40" t="inlineStr">
        <is>
          <t>Defensive grids</t>
        </is>
      </c>
      <c r="H7" s="30" t="inlineStr">
        <is>
          <t>Normal HP skills are much stronger (3/6/9%) than Omega (1/3/6%). Scales all ally HP</t>
        </is>
      </c>
    </row>
    <row r="8" ht="42" customHeight="1">
      <c r="A8" s="31" t="inlineStr">
        <is>
          <t>Stamina</t>
        </is>
      </c>
      <c r="B8" s="32" t="inlineStr">
        <is>
          <t>Normal/Omega/EX</t>
        </is>
      </c>
      <c r="C8" s="32" t="inlineStr">
        <is>
          <t>Stamina / Strife</t>
        </is>
      </c>
      <c r="D8" s="33" t="inlineStr">
        <is>
          <t>ATK boost scales up with HP</t>
        </is>
      </c>
      <c r="E8" s="33" t="inlineStr">
        <is>
          <t>Max ~+15% at 100% HP</t>
        </is>
      </c>
      <c r="F8" s="39" t="inlineStr">
        <is>
          <t>HP ratio based; curve is cubic</t>
        </is>
      </c>
      <c r="G8" s="37" t="inlineStr">
        <is>
          <t>High-HP characters/teams</t>
        </is>
      </c>
      <c r="H8" s="34" t="inlineStr">
        <is>
          <t>ATK increases as HP stays high. Peaks at full HP. Opposite of Enmity. Great Omega grid tool</t>
        </is>
      </c>
    </row>
    <row r="9" ht="42" customHeight="1">
      <c r="A9" s="27" t="inlineStr">
        <is>
          <t>Enmity</t>
        </is>
      </c>
      <c r="B9" s="28" t="inlineStr">
        <is>
          <t>Normal/Omega/EX</t>
        </is>
      </c>
      <c r="C9" s="28" t="inlineStr">
        <is>
          <t>Enmity / Zeal / Wrath</t>
        </is>
      </c>
      <c r="D9" s="29" t="inlineStr">
        <is>
          <t>ATK boost scales up as HP drops</t>
        </is>
      </c>
      <c r="E9" s="29" t="inlineStr">
        <is>
          <t>Max ~+50% at 1% HP</t>
        </is>
      </c>
      <c r="F9" s="42" t="inlineStr">
        <is>
          <t>HP ratio based; steep below 50% HP</t>
        </is>
      </c>
      <c r="G9" s="40" t="inlineStr">
        <is>
          <t>Dark/Enmity teams</t>
        </is>
      </c>
      <c r="H9" s="30" t="inlineStr">
        <is>
          <t>ATK increases as HP drops. Activates at 75% HP, steep at 50%. Pairs with low-HP tactics</t>
        </is>
      </c>
    </row>
    <row r="10" ht="42" customHeight="1">
      <c r="A10" s="31" t="inlineStr">
        <is>
          <t>Critical Rate</t>
        </is>
      </c>
      <c r="B10" s="46" t="inlineStr">
        <is>
          <t>—</t>
        </is>
      </c>
      <c r="C10" s="32" t="inlineStr">
        <is>
          <t>Skyblossom / Serenity / Verity</t>
        </is>
      </c>
      <c r="D10" s="33" t="inlineStr">
        <is>
          <t>5% Crit Chance (Small)</t>
        </is>
      </c>
      <c r="E10" s="33" t="inlineStr">
        <is>
          <t>~14% Crit Chance (Big, Lv10)</t>
        </is>
      </c>
      <c r="F10" s="39" t="inlineStr">
        <is>
          <t>+1% per level</t>
        </is>
      </c>
      <c r="G10" s="37" t="inlineStr">
        <is>
          <t>Crit teams, Light/Dark</t>
        </is>
      </c>
      <c r="H10" s="34" t="inlineStr">
        <is>
          <t>+50% fixed crit damage when proc fires. Sources stack independently (weapon + buff + EMP)</t>
        </is>
      </c>
    </row>
    <row r="11" ht="42" customHeight="1">
      <c r="A11" s="27" t="inlineStr">
        <is>
          <t>Charge Speed</t>
        </is>
      </c>
      <c r="B11" s="47" t="inlineStr">
        <is>
          <t>—</t>
        </is>
      </c>
      <c r="C11" s="28" t="inlineStr">
        <is>
          <t>Progression / Nimble</t>
        </is>
      </c>
      <c r="D11" s="29" t="inlineStr">
        <is>
          <t>+3% charge bar gain/turn</t>
        </is>
      </c>
      <c r="E11" s="29" t="inlineStr">
        <is>
          <t>+10% at Lv10</t>
        </is>
      </c>
      <c r="F11" s="42" t="inlineStr">
        <is>
          <t>+0.5–1% per level</t>
        </is>
      </c>
      <c r="G11" s="40" t="inlineStr">
        <is>
          <t>Charge attack focused builds</t>
        </is>
      </c>
      <c r="H11" s="30" t="inlineStr">
        <is>
          <t>Increases charge bar gain from normal attacks. Stacks additively with DA/TA charge</t>
        </is>
      </c>
    </row>
    <row r="12" ht="42" customHeight="1">
      <c r="A12" s="31" t="inlineStr">
        <is>
          <t>DMG Cap</t>
        </is>
      </c>
      <c r="B12" s="46" t="inlineStr">
        <is>
          <t>—</t>
        </is>
      </c>
      <c r="C12" s="32" t="inlineStr">
        <is>
          <t>Terminus weapons, Scales of Dominion</t>
        </is>
      </c>
      <c r="D12" s="33" t="inlineStr">
        <is>
          <t>+3–5% to damage cap per hit</t>
        </is>
      </c>
      <c r="E12" s="33" t="inlineStr">
        <is>
          <t>Up to +20% total</t>
        </is>
      </c>
      <c r="F12" s="39" t="inlineStr">
        <is>
          <t>Fixed per weapon level</t>
        </is>
      </c>
      <c r="G12" s="37" t="inlineStr">
        <is>
          <t>High-end endgame grids</t>
        </is>
      </c>
      <c r="H12" s="34" t="inlineStr">
        <is>
          <t>Additive stacking up to 20% max. Essential for capping damage in hard content</t>
        </is>
      </c>
    </row>
    <row r="13" ht="42" customHeight="1">
      <c r="A13" s="27" t="inlineStr">
        <is>
          <t>Supplemental Damage</t>
        </is>
      </c>
      <c r="B13" s="47" t="inlineStr">
        <is>
          <t>—</t>
        </is>
      </c>
      <c r="C13" s="28" t="inlineStr">
        <is>
          <t>Archangel weapons, Sephira Maxi</t>
        </is>
      </c>
      <c r="D13" s="29" t="inlineStr">
        <is>
          <t>Flat damage added per hit</t>
        </is>
      </c>
      <c r="E13" s="29" t="inlineStr">
        <is>
          <t>100,000 per instance</t>
        </is>
      </c>
      <c r="F13" s="42" t="inlineStr">
        <is>
          <t>Fixed per stack</t>
        </is>
      </c>
      <c r="G13" s="40" t="inlineStr">
        <is>
          <t>Arcarum content</t>
        </is>
      </c>
      <c r="H13" s="30" t="inlineStr">
        <is>
          <t>Added flat damage independent of ATK modifiers. Useful vs. high-DEF enemies</t>
        </is>
      </c>
    </row>
    <row r="15" ht="16" customHeight="1">
      <c r="A15" s="3" t="inlineStr">
        <is>
          <t>WEAPON SKILL LEVEL REFERENCE</t>
        </is>
      </c>
    </row>
    <row r="16" ht="18" customHeight="1">
      <c r="A16" s="48" t="inlineStr">
        <is>
          <t>Max Level</t>
        </is>
      </c>
      <c r="B16" s="48" t="inlineStr">
        <is>
          <t>Max Skill Level</t>
        </is>
      </c>
      <c r="C16" s="48" t="inlineStr">
        <is>
          <t>Cap Per Uncap</t>
        </is>
      </c>
      <c r="D16" s="48" t="inlineStr">
        <is>
          <t>Skill Upgrade Speed</t>
        </is>
      </c>
      <c r="E16" s="48" t="inlineStr">
        <is>
          <t>Note</t>
        </is>
      </c>
    </row>
    <row r="17" ht="18" customHeight="1">
      <c r="A17" s="49" t="inlineStr">
        <is>
          <t>Lv 100 (3★ max)</t>
        </is>
      </c>
      <c r="B17" s="49" t="inlineStr">
        <is>
          <t>Skill Lv 10</t>
        </is>
      </c>
      <c r="C17" s="49" t="inlineStr">
        <is>
          <t>Stars 0–3</t>
        </is>
      </c>
      <c r="D17" s="49" t="inlineStr">
        <is>
          <t>Each SR = 100 pts; SSR = varies</t>
        </is>
      </c>
      <c r="E17" s="49" t="inlineStr">
        <is>
          <t>Standard weapons</t>
        </is>
      </c>
    </row>
    <row r="18" ht="18" customHeight="1">
      <c r="A18" s="50" t="inlineStr">
        <is>
          <t>Lv 150 (4★ FLB)</t>
        </is>
      </c>
      <c r="B18" s="50" t="inlineStr">
        <is>
          <t>Skill Lv 15</t>
        </is>
      </c>
      <c r="C18" s="50" t="inlineStr">
        <is>
          <t>4★ unlock</t>
        </is>
      </c>
      <c r="D18" s="50" t="inlineStr">
        <is>
          <t>+0.4–0.6% per level 11–15</t>
        </is>
      </c>
      <c r="E18" s="50" t="inlineStr">
        <is>
          <t>4th uncap required</t>
        </is>
      </c>
    </row>
    <row r="19" ht="18" customHeight="1">
      <c r="A19" s="49" t="inlineStr">
        <is>
          <t>Lv 200 (5★ FLB)</t>
        </is>
      </c>
      <c r="B19" s="49" t="inlineStr">
        <is>
          <t>Skill Lv 20</t>
        </is>
      </c>
      <c r="C19" s="49" t="inlineStr">
        <is>
          <t>5★ unlock</t>
        </is>
      </c>
      <c r="D19" s="49" t="inlineStr">
        <is>
          <t>+0.4–0.6% per level 16–20</t>
        </is>
      </c>
      <c r="E19" s="49" t="inlineStr">
        <is>
          <t>Rare premium weapons only</t>
        </is>
      </c>
    </row>
  </sheetData>
  <mergeCells count="3">
    <mergeCell ref="A15:H15"/>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28" customWidth="1" min="1" max="1"/>
    <col width="18" customWidth="1" min="2" max="2"/>
    <col width="20" customWidth="1" min="3" max="3"/>
    <col width="22" customWidth="1" min="4" max="4"/>
    <col width="22" customWidth="1" min="5" max="5"/>
    <col width="50" customWidth="1" min="6" max="6"/>
  </cols>
  <sheetData>
    <row r="1" ht="30" customHeight="1">
      <c r="A1" s="24" t="inlineStr">
        <is>
          <t>EXTENDED MASTERY (EMP) — Source: gbf.wiki/Character_Extended_Mastery_Perks</t>
        </is>
      </c>
    </row>
    <row r="2">
      <c r="A2" s="3" t="inlineStr">
        <is>
          <t>EMP PERK TYPES — PRIORITY GUIDE</t>
        </is>
      </c>
    </row>
    <row r="3">
      <c r="A3" s="25" t="inlineStr">
        <is>
          <t>Perk Type</t>
        </is>
      </c>
      <c r="B3" s="25" t="inlineStr">
        <is>
          <t>Max Boost (3★)</t>
        </is>
      </c>
      <c r="C3" s="25" t="inlineStr">
        <is>
          <t>Scaling per star</t>
        </is>
      </c>
      <c r="D3" s="25" t="inlineStr">
        <is>
          <t>Priority Tier</t>
        </is>
      </c>
      <c r="E3" s="25" t="inlineStr">
        <is>
          <t>Element Condition</t>
        </is>
      </c>
      <c r="F3" s="25" t="inlineStr">
        <is>
          <t>Notes</t>
        </is>
      </c>
    </row>
    <row r="4" ht="28" customHeight="1">
      <c r="A4" s="31" t="inlineStr">
        <is>
          <t>Critical Hit</t>
        </is>
      </c>
      <c r="B4" s="6" t="inlineStr">
        <is>
          <t>+20% Crit Chance</t>
        </is>
      </c>
      <c r="C4" s="32" t="inlineStr">
        <is>
          <t>5% / 8% / 10%</t>
        </is>
      </c>
      <c r="D4" s="51" t="inlineStr">
        <is>
          <t>S — Highest (on-element)</t>
        </is>
      </c>
      <c r="E4" s="38" t="inlineStr">
        <is>
          <t>On-element only</t>
        </is>
      </c>
      <c r="F4" s="34" t="inlineStr">
        <is>
          <t>Biggest damage boost per point if crit rate isn't already capped. Stack with weapon/buff</t>
        </is>
      </c>
    </row>
    <row r="5" ht="28" customHeight="1">
      <c r="A5" s="27" t="inlineStr">
        <is>
          <t>Elemental ATK Up</t>
        </is>
      </c>
      <c r="B5" s="9" t="inlineStr">
        <is>
          <t>+10% Elem ATK</t>
        </is>
      </c>
      <c r="C5" s="28" t="inlineStr">
        <is>
          <t>2% / 4% / 5%</t>
        </is>
      </c>
      <c r="D5" s="52" t="inlineStr">
        <is>
          <t>S — High (all content)</t>
        </is>
      </c>
      <c r="E5" s="41" t="inlineStr">
        <is>
          <t>On-element only</t>
        </is>
      </c>
      <c r="F5" s="30" t="inlineStr">
        <is>
          <t>Scales with raw ATK regardless of ATK inflation. Better than raw ATK EMP long-term</t>
        </is>
      </c>
    </row>
    <row r="6" ht="28" customHeight="1">
      <c r="A6" s="31" t="inlineStr">
        <is>
          <t>C.A. DMG Cap Up</t>
        </is>
      </c>
      <c r="B6" s="6" t="inlineStr">
        <is>
          <t>+15% CA DMG Cap</t>
        </is>
      </c>
      <c r="C6" s="32" t="inlineStr">
        <is>
          <t>5% / 10% / 15%</t>
        </is>
      </c>
      <c r="D6" s="33" t="inlineStr">
        <is>
          <t>A — High (CA builds)</t>
        </is>
      </c>
      <c r="E6" s="38" t="inlineStr">
        <is>
          <t>None</t>
        </is>
      </c>
      <c r="F6" s="34" t="inlineStr">
        <is>
          <t>Increases the cap on how much CA damage can deal. Crucial for burst teams</t>
        </is>
      </c>
    </row>
    <row r="7" ht="28" customHeight="1">
      <c r="A7" s="27" t="inlineStr">
        <is>
          <t>Skill DMG Cap Up</t>
        </is>
      </c>
      <c r="B7" s="9" t="inlineStr">
        <is>
          <t>+15% Skill DMG Cap</t>
        </is>
      </c>
      <c r="C7" s="28" t="inlineStr">
        <is>
          <t>5% / 10% / 15%</t>
        </is>
      </c>
      <c r="D7" s="29" t="inlineStr">
        <is>
          <t>A — High (skill builds)</t>
        </is>
      </c>
      <c r="E7" s="41" t="inlineStr">
        <is>
          <t>None</t>
        </is>
      </c>
      <c r="F7" s="30" t="inlineStr">
        <is>
          <t>Equivalent to C.A. DMG Cap but for skills. Essential for skill-focused chars</t>
        </is>
      </c>
    </row>
    <row r="8" ht="28" customHeight="1">
      <c r="A8" s="31" t="inlineStr">
        <is>
          <t>ATK Up</t>
        </is>
      </c>
      <c r="B8" s="6" t="inlineStr">
        <is>
          <t>+1000 ATK</t>
        </is>
      </c>
      <c r="C8" s="32" t="inlineStr">
        <is>
          <t>300/700/1000</t>
        </is>
      </c>
      <c r="D8" s="37" t="inlineStr">
        <is>
          <t>B — Mid (early game)</t>
        </is>
      </c>
      <c r="E8" s="38" t="inlineStr">
        <is>
          <t>None</t>
        </is>
      </c>
      <c r="F8" s="34" t="inlineStr">
        <is>
          <t>Diminishing returns at high ATK. Useful early, less so when grid ATK &gt; 30,000</t>
        </is>
      </c>
    </row>
    <row r="9" ht="28" customHeight="1">
      <c r="A9" s="27" t="inlineStr">
        <is>
          <t>HP Up</t>
        </is>
      </c>
      <c r="B9" s="9" t="inlineStr">
        <is>
          <t>+500 HP</t>
        </is>
      </c>
      <c r="C9" s="28" t="inlineStr">
        <is>
          <t>150/350/500</t>
        </is>
      </c>
      <c r="D9" s="53" t="inlineStr">
        <is>
          <t>C — Low</t>
        </is>
      </c>
      <c r="E9" s="41" t="inlineStr">
        <is>
          <t>None</t>
        </is>
      </c>
      <c r="F9" s="30" t="inlineStr">
        <is>
          <t>Small impact. Situationally useful for characters who scale off HP</t>
        </is>
      </c>
    </row>
    <row r="10" ht="28" customHeight="1">
      <c r="A10" s="31" t="inlineStr">
        <is>
          <t>Double Attack Rate</t>
        </is>
      </c>
      <c r="B10" s="6" t="inlineStr">
        <is>
          <t>+10% DA</t>
        </is>
      </c>
      <c r="C10" s="32" t="inlineStr">
        <is>
          <t>3%/7%/10%</t>
        </is>
      </c>
      <c r="D10" s="32" t="inlineStr">
        <is>
          <t>B — Good for DPS chars</t>
        </is>
      </c>
      <c r="E10" s="38" t="inlineStr">
        <is>
          <t>None</t>
        </is>
      </c>
      <c r="F10" s="34" t="inlineStr">
        <is>
          <t>Increases attack count. Less efficient than crit/elem for most units</t>
        </is>
      </c>
    </row>
    <row r="11" ht="28" customHeight="1">
      <c r="A11" s="27" t="inlineStr">
        <is>
          <t>Triple Attack Rate</t>
        </is>
      </c>
      <c r="B11" s="9" t="inlineStr">
        <is>
          <t>+5% TA</t>
        </is>
      </c>
      <c r="C11" s="28" t="inlineStr">
        <is>
          <t>1.5%/3.5%/5%</t>
        </is>
      </c>
      <c r="D11" s="28" t="inlineStr">
        <is>
          <t>B — Situational</t>
        </is>
      </c>
      <c r="E11" s="41" t="inlineStr">
        <is>
          <t>None</t>
        </is>
      </c>
      <c r="F11" s="30" t="inlineStr">
        <is>
          <t>Harder to stack. Valuable if character lacks innate TA</t>
        </is>
      </c>
    </row>
    <row r="12" ht="28" customHeight="1">
      <c r="A12" s="31" t="inlineStr">
        <is>
          <t>C.A. DMG Up</t>
        </is>
      </c>
      <c r="B12" s="6" t="inlineStr">
        <is>
          <t>+15% CA DMG</t>
        </is>
      </c>
      <c r="C12" s="32" t="inlineStr">
        <is>
          <t>5%/10%/15%</t>
        </is>
      </c>
      <c r="D12" s="32" t="inlineStr">
        <is>
          <t>B — CA build only</t>
        </is>
      </c>
      <c r="E12" s="38" t="inlineStr">
        <is>
          <t>None</t>
        </is>
      </c>
      <c r="F12" s="34" t="inlineStr">
        <is>
          <t>Raises base CA damage %. Less impactful than Cap Up in most cases</t>
        </is>
      </c>
    </row>
    <row r="13" ht="28" customHeight="1">
      <c r="A13" s="27" t="inlineStr">
        <is>
          <t>Dodge</t>
        </is>
      </c>
      <c r="B13" s="9" t="inlineStr">
        <is>
          <t>Dodge chance +</t>
        </is>
      </c>
      <c r="C13" s="28" t="inlineStr">
        <is>
          <t>Varies</t>
        </is>
      </c>
      <c r="D13" s="44" t="inlineStr">
        <is>
          <t>D — Niche</t>
        </is>
      </c>
      <c r="E13" s="41" t="inlineStr">
        <is>
          <t>None</t>
        </is>
      </c>
      <c r="F13" s="30" t="inlineStr">
        <is>
          <t>Rarely taken. Only useful in specific tanking/counter setups</t>
        </is>
      </c>
    </row>
    <row r="14" ht="28" customHeight="1">
      <c r="A14" s="31" t="inlineStr">
        <is>
          <t>Custom Bottom Row</t>
        </is>
      </c>
      <c r="B14" s="6" t="inlineStr">
        <is>
          <t>Unique per char</t>
        </is>
      </c>
      <c r="C14" s="32" t="inlineStr">
        <is>
          <t>Unique</t>
        </is>
      </c>
      <c r="D14" s="32" t="inlineStr">
        <is>
          <t>B — Check individually</t>
        </is>
      </c>
      <c r="E14" s="38" t="inlineStr">
        <is>
          <t>Varies</t>
        </is>
      </c>
      <c r="F14" s="34" t="inlineStr">
        <is>
          <t>Bottom row of each character's EMP grid is unique. May include rare perks</t>
        </is>
      </c>
    </row>
    <row r="16">
      <c r="A16" s="3" t="inlineStr">
        <is>
          <t>AWAKENING TYPES (unlocked after Awakening Lv 2)</t>
        </is>
      </c>
    </row>
    <row r="17">
      <c r="A17" s="25" t="inlineStr">
        <is>
          <t>Type</t>
        </is>
      </c>
      <c r="B17" s="25" t="inlineStr">
        <is>
          <t>Focus</t>
        </is>
      </c>
      <c r="C17" s="25" t="inlineStr">
        <is>
          <t>Bonus Gained</t>
        </is>
      </c>
      <c r="D17" s="25" t="inlineStr">
        <is>
          <t>Unlock Req.</t>
        </is>
      </c>
      <c r="E17" s="25" t="inlineStr">
        <is>
          <t>When to Use</t>
        </is>
      </c>
      <c r="F17" s="25" t="inlineStr">
        <is>
          <t>Trade-off</t>
        </is>
      </c>
    </row>
    <row r="18" ht="22" customHeight="1">
      <c r="A18" s="6" t="inlineStr">
        <is>
          <t>Balanced (default)</t>
        </is>
      </c>
      <c r="B18" s="6" t="inlineStr">
        <is>
          <t>Balanced</t>
        </is>
      </c>
      <c r="C18" s="6" t="inlineStr">
        <is>
          <t>C.A. DMG +5%, Multiattack +2%</t>
        </is>
      </c>
      <c r="D18" s="6" t="inlineStr">
        <is>
          <t>Default</t>
        </is>
      </c>
      <c r="E18" s="6" t="inlineStr">
        <is>
          <t>General use</t>
        </is>
      </c>
      <c r="F18" s="6" t="inlineStr">
        <is>
          <t>No special conditions</t>
        </is>
      </c>
    </row>
    <row r="19" ht="22" customHeight="1">
      <c r="A19" s="9" t="inlineStr">
        <is>
          <t>Attack</t>
        </is>
      </c>
      <c r="B19" s="9" t="inlineStr">
        <is>
          <t>Damage</t>
        </is>
      </c>
      <c r="C19" s="9" t="inlineStr">
        <is>
          <t>N.A. DMG amplify (5%+), N.A. Cap</t>
        </is>
      </c>
      <c r="D19" s="9" t="inlineStr">
        <is>
          <t>Orb required</t>
        </is>
      </c>
      <c r="E19" s="9" t="inlineStr">
        <is>
          <t>Normal attack teams</t>
        </is>
      </c>
      <c r="F19" s="9" t="inlineStr">
        <is>
          <t>Less defensive stats</t>
        </is>
      </c>
    </row>
    <row r="20" ht="22" customHeight="1">
      <c r="A20" s="6" t="inlineStr">
        <is>
          <t>Defense</t>
        </is>
      </c>
      <c r="B20" s="6" t="inlineStr">
        <is>
          <t>Survivability</t>
        </is>
      </c>
      <c r="C20" s="6" t="inlineStr">
        <is>
          <t>DMG Cut on certain conditions</t>
        </is>
      </c>
      <c r="D20" s="6" t="inlineStr">
        <is>
          <t>Orb required</t>
        </is>
      </c>
      <c r="E20" s="6" t="inlineStr">
        <is>
          <t>Tanking setups</t>
        </is>
      </c>
      <c r="F20" s="6" t="inlineStr">
        <is>
          <t>Less offensive output</t>
        </is>
      </c>
    </row>
    <row r="21" ht="22" customHeight="1">
      <c r="A21" s="9" t="inlineStr">
        <is>
          <t>Heal</t>
        </is>
      </c>
      <c r="B21" s="9" t="inlineStr">
        <is>
          <t>Recovery</t>
        </is>
      </c>
      <c r="C21" s="9" t="inlineStr">
        <is>
          <t>Healing output +</t>
        </is>
      </c>
      <c r="D21" s="9" t="inlineStr">
        <is>
          <t>Orb required</t>
        </is>
      </c>
      <c r="E21" s="9" t="inlineStr">
        <is>
          <t>Heal-focused comps</t>
        </is>
      </c>
      <c r="F21" s="9" t="inlineStr">
        <is>
          <t>Less damage contribution</t>
        </is>
      </c>
    </row>
  </sheetData>
  <mergeCells count="3">
    <mergeCell ref="A2:F2"/>
    <mergeCell ref="A16:F16"/>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showGridLines="0" workbookViewId="0">
      <pane ySplit="3" topLeftCell="A4" activePane="bottomLeft" state="frozen"/>
      <selection pane="bottomLeft" activeCell="A1" sqref="A1"/>
    </sheetView>
  </sheetViews>
  <sheetFormatPr baseColWidth="8" defaultRowHeight="15"/>
  <cols>
    <col width="20" customWidth="1" min="1" max="1"/>
    <col width="14" customWidth="1" min="2" max="2"/>
    <col width="20" customWidth="1" min="3" max="3"/>
    <col width="20" customWidth="1" min="4" max="4"/>
    <col width="18" customWidth="1" min="5" max="5"/>
    <col width="22" customWidth="1" min="6" max="6"/>
    <col width="52" customWidth="1" min="7" max="7"/>
  </cols>
  <sheetData>
    <row r="1" ht="30" customHeight="1">
      <c r="A1" s="24" t="inlineStr">
        <is>
          <t>MAIN CHARACTER CLASS SYSTEM — Source: gbf.wiki/Classes</t>
        </is>
      </c>
    </row>
    <row r="2">
      <c r="A2" s="3" t="inlineStr">
        <is>
          <t>CLASS ROWS — UNLOCK REQUIREMENTS &amp; OVERVIEW</t>
        </is>
      </c>
    </row>
    <row r="3">
      <c r="A3" s="25" t="inlineStr">
        <is>
          <t>Row</t>
        </is>
      </c>
      <c r="B3" s="25" t="inlineStr">
        <is>
          <t>Classes</t>
        </is>
      </c>
      <c r="C3" s="25" t="inlineStr">
        <is>
          <t>Unlock Requirement</t>
        </is>
      </c>
      <c r="D3" s="25" t="inlineStr">
        <is>
          <t>Max Level</t>
        </is>
      </c>
      <c r="E3" s="25" t="inlineStr">
        <is>
          <t>Completion Bonus</t>
        </is>
      </c>
      <c r="F3" s="25" t="inlineStr">
        <is>
          <t>Skill Slots</t>
        </is>
      </c>
      <c r="G3" s="25" t="inlineStr">
        <is>
          <t>Notes</t>
        </is>
      </c>
    </row>
    <row r="4" ht="45" customHeight="1">
      <c r="A4" s="37" t="inlineStr">
        <is>
          <t>Row I</t>
        </is>
      </c>
      <c r="B4" s="6" t="inlineStr">
        <is>
          <t>Fighter, Mage, Priest, Thief, Enhancer, Ranger</t>
        </is>
      </c>
      <c r="C4" s="32" t="inlineStr">
        <is>
          <t>Default unlocked from start</t>
        </is>
      </c>
      <c r="D4" s="33" t="inlineStr">
        <is>
          <t>Lv 20</t>
        </is>
      </c>
      <c r="E4" s="39" t="inlineStr">
        <is>
          <t>Permanent ATK/HP boost to MC</t>
        </is>
      </c>
      <c r="F4" s="37" t="inlineStr">
        <is>
          <t>3 skills (1 fixed + subskills)</t>
        </is>
      </c>
      <c r="G4" s="34" t="inlineStr">
        <is>
          <t>Base classes. Completion bonuses carry over forever even after switching</t>
        </is>
      </c>
    </row>
    <row r="5" ht="45" customHeight="1">
      <c r="A5" s="41" t="inlineStr">
        <is>
          <t>Row II</t>
        </is>
      </c>
      <c r="B5" s="9" t="inlineStr">
        <is>
          <t>Warrior, Sorcerer, Cleric, Assassin, Superstar, Archer</t>
        </is>
      </c>
      <c r="C5" s="28" t="inlineStr">
        <is>
          <t>Raise Row I class to Lv 10 + CP</t>
        </is>
      </c>
      <c r="D5" s="29" t="inlineStr">
        <is>
          <t>Lv 20</t>
        </is>
      </c>
      <c r="E5" s="42" t="inlineStr">
        <is>
          <t>Slightly better stats than Row I</t>
        </is>
      </c>
      <c r="F5" s="40" t="inlineStr">
        <is>
          <t>3 skills</t>
        </is>
      </c>
      <c r="G5" s="30" t="inlineStr">
        <is>
          <t>Provides access to stronger versions of Row I skills. Subskills unlock here</t>
        </is>
      </c>
    </row>
    <row r="6" ht="45" customHeight="1">
      <c r="A6" s="33" t="inlineStr">
        <is>
          <t>Row III</t>
        </is>
      </c>
      <c r="B6" s="6" t="inlineStr">
        <is>
          <t>Sentinel, Hermit, Bishop, Hawkeye, Sword Master, etc.</t>
        </is>
      </c>
      <c r="C6" s="32" t="inlineStr">
        <is>
          <t>Raise Row II to Lv 10 + CP + specific quest</t>
        </is>
      </c>
      <c r="D6" s="33" t="inlineStr">
        <is>
          <t>Lv 20</t>
        </is>
      </c>
      <c r="E6" s="39" t="inlineStr">
        <is>
          <t>Elemental resist bonuses</t>
        </is>
      </c>
      <c r="F6" s="37" t="inlineStr">
        <is>
          <t>4 skills</t>
        </is>
      </c>
      <c r="G6" s="34" t="inlineStr">
        <is>
          <t>Introduces class-specific mechanics. Foundation for Row IV progression</t>
        </is>
      </c>
    </row>
    <row r="7" ht="45" customHeight="1">
      <c r="A7" s="42" t="inlineStr">
        <is>
          <t>Row IV</t>
        </is>
      </c>
      <c r="B7" s="9" t="inlineStr">
        <is>
          <t>Dark Fencer, Chaos Ruler, Sage, Relic Buster, etc.</t>
        </is>
      </c>
      <c r="C7" s="28" t="inlineStr">
        <is>
          <t>Row III Lv 10 + 2500 CP + 20 distinctions + class quest</t>
        </is>
      </c>
      <c r="D7" s="29" t="inlineStr">
        <is>
          <t>Lv 20</t>
        </is>
      </c>
      <c r="E7" s="42" t="inlineStr">
        <is>
          <t>Significant stat boosts</t>
        </is>
      </c>
      <c r="F7" s="40" t="inlineStr">
        <is>
          <t>4 skills + unique mechanic</t>
        </is>
      </c>
      <c r="G7" s="30" t="inlineStr">
        <is>
          <t>Meta-defining classes. Dark Fencer (debuffs), Chaos Ruler (sustain), Sage (echo) most used</t>
        </is>
      </c>
    </row>
    <row r="8" ht="45" customHeight="1">
      <c r="A8" s="51" t="inlineStr">
        <is>
          <t>Row V</t>
        </is>
      </c>
      <c r="B8" s="6" t="inlineStr">
        <is>
          <t>Lumberjack, Spartan, Warlock, Soldier, etc.</t>
        </is>
      </c>
      <c r="C8" s="32" t="inlineStr">
        <is>
          <t>Row IV prerequisites Lv 20 Master Level 30 + 10,000 CP</t>
        </is>
      </c>
      <c r="D8" s="33" t="inlineStr">
        <is>
          <t>Master Lv 30+</t>
        </is>
      </c>
      <c r="E8" s="39" t="inlineStr">
        <is>
          <t>Largest bonuses in game</t>
        </is>
      </c>
      <c r="F8" s="37" t="inlineStr">
        <is>
          <t>4 skills + extended mechanic</t>
        </is>
      </c>
      <c r="G8" s="34" t="inlineStr">
        <is>
          <t>Endgame classes. Require Master Level progression (beyond Lv 20 via EXP)</t>
        </is>
      </c>
    </row>
    <row r="9" ht="45" customHeight="1">
      <c r="A9" s="47" t="inlineStr">
        <is>
          <t>EX / EX I</t>
        </is>
      </c>
      <c r="B9" s="9" t="inlineStr">
        <is>
          <t>Dancer, Mechanic, Drum Master</t>
        </is>
      </c>
      <c r="C9" s="28" t="inlineStr">
        <is>
          <t>CP + Creeds + Extra Co-op quest trophies</t>
        </is>
      </c>
      <c r="D9" s="29" t="inlineStr">
        <is>
          <t>Lv 20</t>
        </is>
      </c>
      <c r="E9" s="42" t="inlineStr">
        <is>
          <t>Unique stat profiles</t>
        </is>
      </c>
      <c r="F9" s="40" t="inlineStr">
        <is>
          <t>3 preset skills</t>
        </is>
      </c>
      <c r="G9" s="30" t="inlineStr">
        <is>
          <t>Unique playstyles outside normal progression. Drum Master for support, Mechanic for variety</t>
        </is>
      </c>
    </row>
    <row r="10" ht="45" customHeight="1">
      <c r="A10" s="45" t="inlineStr">
        <is>
          <t>EX II</t>
        </is>
      </c>
      <c r="B10" s="6" t="inlineStr">
        <is>
          <t>Glorybringer, Runeslayer, Kengo</t>
        </is>
      </c>
      <c r="C10" s="32" t="inlineStr">
        <is>
          <t>EX I + additional requirements</t>
        </is>
      </c>
      <c r="D10" s="33" t="inlineStr">
        <is>
          <t>Lv 20</t>
        </is>
      </c>
      <c r="E10" s="39" t="inlineStr">
        <is>
          <t>Custom skill flexibility</t>
        </is>
      </c>
      <c r="F10" s="37" t="inlineStr">
        <is>
          <t>1 preset + 3 customizable</t>
        </is>
      </c>
      <c r="G10" s="34" t="inlineStr">
        <is>
          <t>EX II allows up to 3 free skill slots from subskills/EMP. Highly flexible for team building</t>
        </is>
      </c>
    </row>
    <row r="11" ht="45" customHeight="1">
      <c r="A11" s="54" t="inlineStr">
        <is>
          <t>Origin</t>
        </is>
      </c>
      <c r="B11" s="9" t="inlineStr">
        <is>
          <t>Special base-tier replacements</t>
        </is>
      </c>
      <c r="C11" s="28" t="inlineStr">
        <is>
          <t>All Row V classes Lv 20 + special quest</t>
        </is>
      </c>
      <c r="D11" s="29" t="inlineStr">
        <is>
          <t>Lv 20+</t>
        </is>
      </c>
      <c r="E11" s="42" t="inlineStr">
        <is>
          <t>Inherits all Row I completion bonuses</t>
        </is>
      </c>
      <c r="F11" s="40" t="inlineStr">
        <is>
          <t>4 skills</t>
        </is>
      </c>
      <c r="G11" s="30" t="inlineStr">
        <is>
          <t>Replaces original Row I. Cannot revert. Access to Origin-exclusive skills and mechanics</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26" customWidth="1" min="1" max="1"/>
    <col width="18" customWidth="1" min="2" max="2"/>
    <col width="20" customWidth="1" min="3" max="3"/>
    <col width="20" customWidth="1" min="4" max="4"/>
    <col width="22" customWidth="1" min="5" max="5"/>
    <col width="50" customWidth="1" min="6" max="6"/>
  </cols>
  <sheetData>
    <row r="1" ht="30" customHeight="1">
      <c r="A1" s="24" t="inlineStr">
        <is>
          <t>MULTIATTACK &amp; CHAIN BURST — Source: gbf.wiki/Attack_Rate &amp; gbf.wiki/Multistrike</t>
        </is>
      </c>
    </row>
    <row r="2">
      <c r="A2" s="3" t="inlineStr">
        <is>
          <t>MULTIATTACK RATE MECHANICS</t>
        </is>
      </c>
    </row>
    <row r="3">
      <c r="A3" s="25" t="inlineStr">
        <is>
          <t>Attack Type</t>
        </is>
      </c>
      <c r="B3" s="25" t="inlineStr">
        <is>
          <t>Base Rate</t>
        </is>
      </c>
      <c r="C3" s="25" t="inlineStr">
        <is>
          <t>With Buffs (approx.)</t>
        </is>
      </c>
      <c r="D3" s="25" t="inlineStr">
        <is>
          <t>Charge Bar Gain</t>
        </is>
      </c>
      <c r="E3" s="25" t="inlineStr">
        <is>
          <t>Notes</t>
        </is>
      </c>
      <c r="F3" s="25" t="inlineStr">
        <is>
          <t>Sources</t>
        </is>
      </c>
    </row>
    <row r="4" ht="40" customHeight="1">
      <c r="A4" s="31" t="inlineStr">
        <is>
          <t>Normal Attack (1 hit)</t>
        </is>
      </c>
      <c r="B4" s="6" t="inlineStr">
        <is>
          <t>Base: 1 hit always</t>
        </is>
      </c>
      <c r="C4" s="33" t="inlineStr">
        <is>
          <t>Always 1 normal hit minimum</t>
        </is>
      </c>
      <c r="D4" s="39" t="inlineStr">
        <is>
          <t>+~4% per hit</t>
        </is>
      </c>
      <c r="E4" s="32" t="inlineStr">
        <is>
          <t>Baseline attack. 1 charge bar action. All characters do this</t>
        </is>
      </c>
      <c r="F4" s="34" t="inlineStr">
        <is>
          <t>No source needed — default action</t>
        </is>
      </c>
    </row>
    <row r="5" ht="40" customHeight="1">
      <c r="A5" s="27" t="inlineStr">
        <is>
          <t>Double Attack (DA)</t>
        </is>
      </c>
      <c r="B5" s="9" t="inlineStr">
        <is>
          <t>Varies 5–15% base</t>
        </is>
      </c>
      <c r="C5" s="29" t="inlineStr">
        <is>
          <t>Up to ~100% with full DA Up</t>
        </is>
      </c>
      <c r="D5" s="42" t="inlineStr">
        <is>
          <t>+~8% total</t>
        </is>
      </c>
      <c r="E5" s="28" t="inlineStr">
        <is>
          <t>Second normal hit in same turn. Each hit rolls damage independently</t>
        </is>
      </c>
      <c r="F5" s="30" t="inlineStr">
        <is>
          <t>DA Up buffs (Normal/Self/Unique side), weapon Charge Speed, EMP</t>
        </is>
      </c>
    </row>
    <row r="6" ht="40" customHeight="1">
      <c r="A6" s="31" t="inlineStr">
        <is>
          <t>Triple Attack (TA)</t>
        </is>
      </c>
      <c r="B6" s="6" t="inlineStr">
        <is>
          <t>Varies 0–8% base</t>
        </is>
      </c>
      <c r="C6" s="33" t="inlineStr">
        <is>
          <t>Up to ~100% with Guaranteed TA</t>
        </is>
      </c>
      <c r="D6" s="39" t="inlineStr">
        <is>
          <t>+~12% total</t>
        </is>
      </c>
      <c r="E6" s="32" t="inlineStr">
        <is>
          <t>Third normal hit in same turn. Much rarer than DA. All 3 rolls damage</t>
        </is>
      </c>
      <c r="F6" s="34" t="inlineStr">
        <is>
          <t>TA Up buffs, EMP TA Up, some support skills. Guaranteed TA = 100%</t>
        </is>
      </c>
    </row>
    <row r="7" ht="40" customHeight="1">
      <c r="A7" s="27" t="inlineStr">
        <is>
          <t>Charge Attack (CA/Ougi)</t>
        </is>
      </c>
      <c r="B7" s="9" t="inlineStr">
        <is>
          <t>Requires 100% bar</t>
        </is>
      </c>
      <c r="C7" s="29" t="inlineStr">
        <is>
          <t>Always fires when bar is full + auto enabled</t>
        </is>
      </c>
      <c r="D7" s="42" t="inlineStr">
        <is>
          <t>Drains 100% bar</t>
        </is>
      </c>
      <c r="E7" s="28" t="inlineStr">
        <is>
          <t>Large damage hit + special effect. Bar refills over subsequent turns</t>
        </is>
      </c>
      <c r="F7" s="30" t="inlineStr">
        <is>
          <t>Charge bar fills from normal attacks (×DA/TA multiplied). Can be held with Hold toggle</t>
        </is>
      </c>
    </row>
    <row r="8" ht="40" customHeight="1">
      <c r="A8" s="31" t="inlineStr">
        <is>
          <t>Double Strike</t>
        </is>
      </c>
      <c r="B8" s="6" t="inlineStr">
        <is>
          <t>Requires buff</t>
        </is>
      </c>
      <c r="C8" s="33" t="inlineStr">
        <is>
          <t>2 full attack actions per turn</t>
        </is>
      </c>
      <c r="D8" s="39" t="inlineStr">
        <is>
          <t>Two attack actions worth</t>
        </is>
      </c>
      <c r="E8" s="32" t="inlineStr">
        <is>
          <t>Distinct from DA — character takes TWO separate attack turns</t>
        </is>
      </c>
      <c r="F8" s="34" t="inlineStr">
        <is>
          <t>Double Strike buff from skills. Different from Double Attack!</t>
        </is>
      </c>
    </row>
    <row r="9" ht="40" customHeight="1">
      <c r="A9" s="27" t="inlineStr">
        <is>
          <t>Triple Strike</t>
        </is>
      </c>
      <c r="B9" s="9" t="inlineStr">
        <is>
          <t>Requires buff</t>
        </is>
      </c>
      <c r="C9" s="29" t="inlineStr">
        <is>
          <t>3 full attack actions per turn</t>
        </is>
      </c>
      <c r="D9" s="42" t="inlineStr">
        <is>
          <t>Three attack actions worth</t>
        </is>
      </c>
      <c r="E9" s="28" t="inlineStr">
        <is>
          <t>Even rarer. Character takes 3 separate attack sequences</t>
        </is>
      </c>
      <c r="F9" s="30" t="inlineStr">
        <is>
          <t>Very few skills grant this. Some Row V classes</t>
        </is>
      </c>
    </row>
    <row r="11">
      <c r="A11" s="3" t="inlineStr">
        <is>
          <t>CHAIN BURST (CB) MECHANICS</t>
        </is>
      </c>
    </row>
    <row r="12">
      <c r="A12" s="25" t="inlineStr">
        <is>
          <t>Chain Count</t>
        </is>
      </c>
      <c r="B12" s="25" t="inlineStr">
        <is>
          <t>Trigger Condition</t>
        </is>
      </c>
      <c r="C12" s="25" t="inlineStr">
        <is>
          <t>Damage Bonus</t>
        </is>
      </c>
      <c r="D12" s="25" t="inlineStr">
        <is>
          <t>Bonus to Normal Damage</t>
        </is>
      </c>
      <c r="E12" s="25" t="inlineStr">
        <is>
          <t>Caps / Limits</t>
        </is>
      </c>
      <c r="F12" s="25" t="inlineStr">
        <is>
          <t>Notes</t>
        </is>
      </c>
    </row>
    <row r="13" ht="28" customHeight="1">
      <c r="A13" s="51" t="inlineStr">
        <is>
          <t>2-Chain</t>
        </is>
      </c>
      <c r="B13" s="32" t="inlineStr">
        <is>
          <t>2 charge attacks fire in same turn</t>
        </is>
      </c>
      <c r="C13" s="33" t="inlineStr">
        <is>
          <t>+25% bonus CB damage</t>
        </is>
      </c>
      <c r="D13" s="39" t="inlineStr">
        <is>
          <t>Additive to total</t>
        </is>
      </c>
      <c r="E13" s="45" t="inlineStr">
        <is>
          <t>—</t>
        </is>
      </c>
      <c r="F13" s="34" t="inlineStr">
        <is>
          <t>First chain threshold. Very achievable with charge boost skills</t>
        </is>
      </c>
    </row>
    <row r="14" ht="28" customHeight="1">
      <c r="A14" s="52" t="inlineStr">
        <is>
          <t>3-Chain</t>
        </is>
      </c>
      <c r="B14" s="28" t="inlineStr">
        <is>
          <t>3 charge attacks in same turn</t>
        </is>
      </c>
      <c r="C14" s="29" t="inlineStr">
        <is>
          <t>+50% bonus CB damage</t>
        </is>
      </c>
      <c r="D14" s="42" t="inlineStr">
        <is>
          <t>Additive</t>
        </is>
      </c>
      <c r="E14" s="44" t="inlineStr">
        <is>
          <t>—</t>
        </is>
      </c>
      <c r="F14" s="30" t="inlineStr">
        <is>
          <t>Strong multiplier. Requires coordinating 3 characters' charge bars to 100%</t>
        </is>
      </c>
    </row>
    <row r="15" ht="28" customHeight="1">
      <c r="A15" s="51" t="inlineStr">
        <is>
          <t>4-Chain</t>
        </is>
      </c>
      <c r="B15" s="32" t="inlineStr">
        <is>
          <t>4 charge attacks in same turn</t>
        </is>
      </c>
      <c r="C15" s="33" t="inlineStr">
        <is>
          <t>+100% bonus CB damage</t>
        </is>
      </c>
      <c r="D15" s="39" t="inlineStr">
        <is>
          <t>Additive</t>
        </is>
      </c>
      <c r="E15" s="45" t="inlineStr">
        <is>
          <t>Max chain for standard 4-char party</t>
        </is>
      </c>
      <c r="F15" s="34" t="inlineStr">
        <is>
          <t>Doubles CB damage. Requires full party at 100% simultaneously</t>
        </is>
      </c>
    </row>
  </sheetData>
  <mergeCells count="3">
    <mergeCell ref="A2:F2"/>
    <mergeCell ref="A11:F1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2026-03-19T11:03:17Z</dcterms:created>
  <dcterms:modified xmlns:dcterms="http://purl.org/dc/terms/" xmlns:xsi="http://www.w3.org/2001/XMLSchema-instance" xsi:type="dcterms:W3CDTF">2026-03-19T11:03:17Z</dcterms:modified>
</cp:coreProperties>
</file>